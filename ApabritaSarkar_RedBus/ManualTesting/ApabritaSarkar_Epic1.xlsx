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USER\OneDrive\Desktop\cg_training\Sprint\DAY5\"/>
    </mc:Choice>
  </mc:AlternateContent>
  <xr:revisionPtr revIDLastSave="0" documentId="13_ncr:1_{B2B01E10-5CF1-4F2C-9435-5371DF99EADC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User Stories" sheetId="1" r:id="rId1"/>
    <sheet name="Test Scenarios" sheetId="2" r:id="rId2"/>
    <sheet name="Test Cases" sheetId="3" r:id="rId3"/>
    <sheet name="Defect Report" sheetId="4" r:id="rId4"/>
    <sheet name="RTM" sheetId="5" r:id="rId5"/>
    <sheet name="Summary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9" i="6" l="1"/>
  <c r="I8" i="6"/>
  <c r="H8" i="6"/>
  <c r="G8" i="6"/>
  <c r="I10" i="6"/>
  <c r="H10" i="6"/>
  <c r="G10" i="6"/>
  <c r="H9" i="6"/>
  <c r="G9" i="6"/>
  <c r="I7" i="6"/>
  <c r="H7" i="6"/>
  <c r="G7" i="6"/>
  <c r="I6" i="6"/>
  <c r="H6" i="6"/>
  <c r="G6" i="6"/>
  <c r="I5" i="6"/>
  <c r="H5" i="6"/>
  <c r="G5" i="6"/>
  <c r="I3" i="6"/>
  <c r="H3" i="6"/>
  <c r="G3" i="6"/>
</calcChain>
</file>

<file path=xl/sharedStrings.xml><?xml version="1.0" encoding="utf-8"?>
<sst xmlns="http://schemas.openxmlformats.org/spreadsheetml/2006/main" count="506" uniqueCount="304">
  <si>
    <t>Issue Type</t>
  </si>
  <si>
    <t>ID</t>
  </si>
  <si>
    <t>Priority</t>
  </si>
  <si>
    <t>Epic</t>
  </si>
  <si>
    <t>E-01</t>
  </si>
  <si>
    <t>Live Train Status — real-time train tracking and availability</t>
  </si>
  <si>
    <t>High</t>
  </si>
  <si>
    <t>Story</t>
  </si>
  <si>
    <t>S-01.1</t>
  </si>
  <si>
    <t>User searches for a train to view live status</t>
  </si>
  <si>
    <t>Sub-story</t>
  </si>
  <si>
    <t>SS-01.1.1</t>
  </si>
  <si>
    <t>Search train by number (exact or partial) or by name</t>
  </si>
  <si>
    <t>SS-01.1.2</t>
  </si>
  <si>
    <t>Show suggestions while typing; show error for invalid/blank search and allow clearing</t>
  </si>
  <si>
    <t>Medium</t>
  </si>
  <si>
    <t>S-01.2</t>
  </si>
  <si>
    <t>User navigates between trains to view live status</t>
  </si>
  <si>
    <t>SS-01.2.1</t>
  </si>
  <si>
    <t>Swipe left / right to navigate between trains in list</t>
  </si>
  <si>
    <t>SS-01.2.2</t>
  </si>
  <si>
    <t>Show live running status (on-time / delayed) and current location on map</t>
  </si>
  <si>
    <t>S-01.3</t>
  </si>
  <si>
    <t>User views top trains and seat availability by date</t>
  </si>
  <si>
    <t>SS-01.3.1</t>
  </si>
  <si>
    <t>View availability by date (today, previous, next) with calendar navigation</t>
  </si>
  <si>
    <t>SS-01.3.2</t>
  </si>
  <si>
    <t>Show top 10 trains on selected route with available seat classes per train</t>
  </si>
  <si>
    <t>Test Scenario ID</t>
  </si>
  <si>
    <t>Requirement ID</t>
  </si>
  <si>
    <t>Test Scenario Description</t>
  </si>
  <si>
    <t>Type of Testing</t>
  </si>
  <si>
    <t>No. of TCs</t>
  </si>
  <si>
    <t>Test Case Details</t>
  </si>
  <si>
    <t>REQ_SS-01.1.1</t>
  </si>
  <si>
    <t>Train Search by Number / Name</t>
  </si>
  <si>
    <t>Functional</t>
  </si>
  <si>
    <t>8</t>
  </si>
  <si>
    <t>1. Search with correct exact train number
2. Search with partial number
3. Search with partial name string
4. Search with full name
5. Blank search field
6. Extended/invalid number (neg)
7. Wrong number (neg)
8. Wrong string (neg)</t>
  </si>
  <si>
    <t>REQ_SS-01.1.2</t>
  </si>
  <si>
    <t>Search Suggestions &amp; Error Handling</t>
  </si>
  <si>
    <t>REQ_SS-01.2.1</t>
  </si>
  <si>
    <t>Swipe Navigation Between Trains</t>
  </si>
  <si>
    <t>REQ_SS-01.2.2</t>
  </si>
  <si>
    <t>Live Running Status &amp; Map</t>
  </si>
  <si>
    <t>REQ_SS-01.3.1</t>
  </si>
  <si>
    <t>Date Selection &amp; Calendar Navigation</t>
  </si>
  <si>
    <t>REQ_SS-01.3.2</t>
  </si>
  <si>
    <t>Top 10 Trains with Seat Availability</t>
  </si>
  <si>
    <t>Test Case ID</t>
  </si>
  <si>
    <t>Precondition</t>
  </si>
  <si>
    <t>Test Condition</t>
  </si>
  <si>
    <t>Test Case Steps</t>
  </si>
  <si>
    <t>Test Data</t>
  </si>
  <si>
    <t>Expected Result</t>
  </si>
  <si>
    <t>Actual Result
Iteration 1</t>
  </si>
  <si>
    <t>Status
Iteration 1</t>
  </si>
  <si>
    <t>Actual Result
Iteration 2</t>
  </si>
  <si>
    <t>Status
Iteration 2</t>
  </si>
  <si>
    <t>Req. Reference</t>
  </si>
  <si>
    <t>App open; Live Train Status screen visible</t>
  </si>
  <si>
    <t>Search with partial train number</t>
  </si>
  <si>
    <t>1. Open Live Train Status
2. Enter partial number (e.g. 123)
3. Tap Search</t>
  </si>
  <si>
    <t>Partial No: 123</t>
  </si>
  <si>
    <t>Matching trains list is displayed</t>
  </si>
  <si>
    <t>Search with partial train name string</t>
  </si>
  <si>
    <t>1. Open Live Train Status
2. Enter partial name
3. Tap Search</t>
  </si>
  <si>
    <t>String: 'Rajd'</t>
  </si>
  <si>
    <t>Matching train names list displayed</t>
  </si>
  <si>
    <t>Search with full train name</t>
  </si>
  <si>
    <t>1. Open Live Train Status
2. Enter full name
3. Tap Search</t>
  </si>
  <si>
    <t>Name: 'Rajdhani Express'</t>
  </si>
  <si>
    <t>Exact train details displayed</t>
  </si>
  <si>
    <t>Search with blank input</t>
  </si>
  <si>
    <t>1. Open Live Train Status
2. Leave field blank
3. Tap Search</t>
  </si>
  <si>
    <t>Empty</t>
  </si>
  <si>
    <t>Error: 'Please enter train number or name'</t>
  </si>
  <si>
    <t>Search with extended/too-long number (neg)</t>
  </si>
  <si>
    <t>1. Enter number exceeding digit limit
2. Tap Search</t>
  </si>
  <si>
    <t>No: 123456789012</t>
  </si>
  <si>
    <t>Validation error shown; input rejected</t>
  </si>
  <si>
    <t>Search with non-existent train number (neg)</t>
  </si>
  <si>
    <t>1. Enter invalid train number
2. Tap Search</t>
  </si>
  <si>
    <t>No: 99999</t>
  </si>
  <si>
    <t>Message: 'No train found'</t>
  </si>
  <si>
    <t>Search with non-existent name string (neg)</t>
  </si>
  <si>
    <t>1. Enter invalid name string
2. Tap Search</t>
  </si>
  <si>
    <t>String: 'XXXXXX'</t>
  </si>
  <si>
    <t>Suggestions dropdown is visible</t>
  </si>
  <si>
    <t>Tap a suggestion fills the search field</t>
  </si>
  <si>
    <t>1. Type in search field
2. Tap one suggestion</t>
  </si>
  <si>
    <t>Suggestion tapped</t>
  </si>
  <si>
    <t>Field populated with selected train name</t>
  </si>
  <si>
    <t>At least 2 train results displayed</t>
  </si>
  <si>
    <t>Left swipe navigates to previous train</t>
  </si>
  <si>
    <t>Previous train card displayed</t>
  </si>
  <si>
    <t>On last train card</t>
  </si>
  <si>
    <t>Right swipe on last card (edge case)</t>
  </si>
  <si>
    <t>Only one train in result</t>
  </si>
  <si>
    <t>Single result – swipe arrows not shown</t>
  </si>
  <si>
    <t>1. Search for train with single result
2. Check for swipe arrows</t>
  </si>
  <si>
    <t>Single result</t>
  </si>
  <si>
    <t>No left/right swipe arrows displayed</t>
  </si>
  <si>
    <t>Train details screen open</t>
  </si>
  <si>
    <t>Delayed train shows delay in minutes</t>
  </si>
  <si>
    <t>1. Open a delayed train
2. Check status indicator</t>
  </si>
  <si>
    <t>Delayed train</t>
  </si>
  <si>
    <t>Delay minutes shown in red/orange</t>
  </si>
  <si>
    <t>Current location pin shown on map</t>
  </si>
  <si>
    <t>Active train</t>
  </si>
  <si>
    <t>Map pin at current train location</t>
  </si>
  <si>
    <t>Device on slow network</t>
  </si>
  <si>
    <t>Map loads on different network conditions</t>
  </si>
  <si>
    <t>1. Switch to 2G/slow network
2. Open train map</t>
  </si>
  <si>
    <t>Slow network</t>
  </si>
  <si>
    <t>Map loads (may be slower); no crash</t>
  </si>
  <si>
    <t>Calendar is open</t>
  </si>
  <si>
    <t>Select next available date from calendar</t>
  </si>
  <si>
    <t>1. Open calendar
2. Tap next date</t>
  </si>
  <si>
    <t>Next date</t>
  </si>
  <si>
    <t>Date selected; availability loaded</t>
  </si>
  <si>
    <t>Past dates disabled in calendar (neg)</t>
  </si>
  <si>
    <t>1. Open calendar
2. Tap a past date</t>
  </si>
  <si>
    <t>Past date</t>
  </si>
  <si>
    <t>Past date not selectable; grayed out</t>
  </si>
  <si>
    <t>Month navigation via arrow</t>
  </si>
  <si>
    <t>1. Open calendar
2. Tap next/prev month arrow</t>
  </si>
  <si>
    <t>Month arrows</t>
  </si>
  <si>
    <t>Calendar navigates to correct month</t>
  </si>
  <si>
    <t>Top 10 list visible</t>
  </si>
  <si>
    <t>Seat classes shown per train</t>
  </si>
  <si>
    <t>1. View top 10 list
2. Check each train row</t>
  </si>
  <si>
    <t>Train list</t>
  </si>
  <si>
    <t>Seat classes (SL/3A/2A/1A) shown per train</t>
  </si>
  <si>
    <t>Available class highlighted/differentiated</t>
  </si>
  <si>
    <t>1. View seat class indicators
2. Check available vs NA</t>
  </si>
  <si>
    <t>Mixed availability</t>
  </si>
  <si>
    <t>Available classes visually highlighted</t>
  </si>
  <si>
    <t>Fully booked train shows WL or NA</t>
  </si>
  <si>
    <t>1. Find a fully booked train in list
2. Check status</t>
  </si>
  <si>
    <t>Booked-out train</t>
  </si>
  <si>
    <t>'WL' or 'NA' shown; not blank</t>
  </si>
  <si>
    <t>Summary</t>
  </si>
  <si>
    <t>trains with number 123 are displayed in suggestions</t>
  </si>
  <si>
    <t>pass</t>
  </si>
  <si>
    <t>trains name with 'Rajd' displayed</t>
  </si>
  <si>
    <t>exact train displayed</t>
  </si>
  <si>
    <t>last searched train details displayed</t>
  </si>
  <si>
    <t>fail</t>
  </si>
  <si>
    <t>last seached train details showed</t>
  </si>
  <si>
    <t>search button not being clicked</t>
  </si>
  <si>
    <t>no suggestions came</t>
  </si>
  <si>
    <t>field filled with selected train name</t>
  </si>
  <si>
    <t>Swipe right</t>
  </si>
  <si>
    <t>1. Navigate to most recent card
2. Swipe right</t>
  </si>
  <si>
    <t>1. Navigate to last train
2. Swipe left</t>
  </si>
  <si>
    <t>swipe left</t>
  </si>
  <si>
    <t>most recent train displayed</t>
  </si>
  <si>
    <t>arrow displayed but swipe not working</t>
  </si>
  <si>
    <t xml:space="preserve">delay time shown in red </t>
  </si>
  <si>
    <t>current location shown</t>
  </si>
  <si>
    <t>cannot fetch on slow network</t>
  </si>
  <si>
    <t>1. Open train live status
2. Check mid stations list</t>
  </si>
  <si>
    <t>after long time also not loading</t>
  </si>
  <si>
    <t>availaility shows</t>
  </si>
  <si>
    <t>can not select, grayed out</t>
  </si>
  <si>
    <t>months are changing through arrow</t>
  </si>
  <si>
    <t>1. Calendar – select next date
2. Calendar – past dates disabled
3. Month navigation via arrow</t>
  </si>
  <si>
    <t>seats shown</t>
  </si>
  <si>
    <t>WL shown</t>
  </si>
  <si>
    <t>1. Seat classes shown per train
2. Available class highlighted
3. Fully booked shows WL/NA</t>
  </si>
  <si>
    <t>Search with exact correct train number</t>
  </si>
  <si>
    <t>1. Open Live Train Status
2. Enter partial number (e.g. 12345)
3. Tap Search</t>
  </si>
  <si>
    <t>full No: 12345</t>
  </si>
  <si>
    <t>train with number 12345 is displayed in suggestions</t>
  </si>
  <si>
    <t>Defect Id.</t>
  </si>
  <si>
    <t>Module name</t>
  </si>
  <si>
    <t>Defect Summary</t>
  </si>
  <si>
    <t>Defect Priority</t>
  </si>
  <si>
    <t>Assigned To</t>
  </si>
  <si>
    <t>Status</t>
  </si>
  <si>
    <t>Live Train Status – Search</t>
  </si>
  <si>
    <t>When search field is left blank and Search is tapped, the app displays the last searched train's details instead of showing an error message 'Please enter train number or name'.</t>
  </si>
  <si>
    <t>Live Train Status – Map / Network</t>
  </si>
  <si>
    <t>On slow (2G) network, the live train map fails to load and does not display any loading indicator; train location cannot be fetched even after extended wait.</t>
  </si>
  <si>
    <t>TS_01</t>
  </si>
  <si>
    <t>TS_02</t>
  </si>
  <si>
    <t>TS_03</t>
  </si>
  <si>
    <t>TS_04</t>
  </si>
  <si>
    <t>TS_05</t>
  </si>
  <si>
    <t>TS_06</t>
  </si>
  <si>
    <t>TC_01</t>
  </si>
  <si>
    <t>TC_02</t>
  </si>
  <si>
    <t>TC_03</t>
  </si>
  <si>
    <t>TC_04</t>
  </si>
  <si>
    <t>TC_05</t>
  </si>
  <si>
    <t>TC_06</t>
  </si>
  <si>
    <t>TC_07</t>
  </si>
  <si>
    <t>TC_08</t>
  </si>
  <si>
    <t>── Scenario: TS_02 ──</t>
  </si>
  <si>
    <t>TC_10</t>
  </si>
  <si>
    <t>TC_11</t>
  </si>
  <si>
    <t>── Scenario: TS_03 ──</t>
  </si>
  <si>
    <t>TC_12</t>
  </si>
  <si>
    <t>TC_13</t>
  </si>
  <si>
    <t>TC_14</t>
  </si>
  <si>
    <t>TC_15</t>
  </si>
  <si>
    <t>TC_16</t>
  </si>
  <si>
    <t>TC_17</t>
  </si>
  <si>
    <t>TC_18</t>
  </si>
  <si>
    <t>TC_19</t>
  </si>
  <si>
    <t>TC_20</t>
  </si>
  <si>
    <t>── Scenario: TS_07 ──</t>
  </si>
  <si>
    <t>TC_21</t>
  </si>
  <si>
    <t>DF_01</t>
  </si>
  <si>
    <t>DF_02</t>
  </si>
  <si>
    <t>TC_09</t>
  </si>
  <si>
    <t>1. Selecting a suggestion fills the field</t>
  </si>
  <si>
    <t>1. Swipe right – next train
2. Swipe left – previous train
3. Single result – no swipe</t>
  </si>
  <si>
    <t>1. Delayed train shows delay mins
2. Current location pin shown on map
3. Map loads correctly on different networks</t>
  </si>
  <si>
    <t>xyz@gmail.com</t>
  </si>
  <si>
    <t>abc@gmail.com</t>
  </si>
  <si>
    <t>BR_ID</t>
  </si>
  <si>
    <t>TR_ID</t>
  </si>
  <si>
    <t>TS_ID</t>
  </si>
  <si>
    <t>TC_ID</t>
  </si>
  <si>
    <t>STATUS</t>
  </si>
  <si>
    <t>DR_ID</t>
  </si>
  <si>
    <t>Passed</t>
  </si>
  <si>
    <t>NA</t>
  </si>
  <si>
    <t>Failed</t>
  </si>
  <si>
    <t>BR_01</t>
  </si>
  <si>
    <t>TR_01</t>
  </si>
  <si>
    <t>BR_02</t>
  </si>
  <si>
    <t>TR_02</t>
  </si>
  <si>
    <t>BR_03</t>
  </si>
  <si>
    <t>TR_03</t>
  </si>
  <si>
    <t>BR_04</t>
  </si>
  <si>
    <t>TR_04</t>
  </si>
  <si>
    <t>BR_05</t>
  </si>
  <si>
    <t>TR_05</t>
  </si>
  <si>
    <t>BR_06</t>
  </si>
  <si>
    <t>TR_06</t>
  </si>
  <si>
    <t>Todo</t>
  </si>
  <si>
    <t>TEST EXECUTION SUMMARY</t>
  </si>
  <si>
    <t>Project Name</t>
  </si>
  <si>
    <t>Module Name</t>
  </si>
  <si>
    <t>Total Cases</t>
  </si>
  <si>
    <t>Total Passed</t>
  </si>
  <si>
    <t>Total Failed</t>
  </si>
  <si>
    <t>Total Executed</t>
  </si>
  <si>
    <t>Pass Percentage</t>
  </si>
  <si>
    <t>Fail Percentage</t>
  </si>
  <si>
    <t>Live Train Status</t>
  </si>
  <si>
    <t>Top 10 Trains &amp; Seat Availability</t>
  </si>
  <si>
    <t>TOTAL</t>
  </si>
  <si>
    <t>Date Selection &amp; Calendar</t>
  </si>
  <si>
    <t>S-01.4</t>
  </si>
  <si>
    <t>User checks PNR status to view booking details</t>
  </si>
  <si>
    <t>SS-01.4.1</t>
  </si>
  <si>
    <t>SS-01.4.2</t>
  </si>
  <si>
    <t>Enter valid 10-digit PNR and view status</t>
  </si>
  <si>
    <t>Show error for invalid PNR</t>
  </si>
  <si>
    <t>SS-01.4.3</t>
  </si>
  <si>
    <t>SS-01.4.4</t>
  </si>
  <si>
    <t>Restrict input to exactly 10 digits</t>
  </si>
  <si>
    <t>Disable button for incomplete PNR</t>
  </si>
  <si>
    <t>TS_07</t>
  </si>
  <si>
    <t>REQ_SS-01.4</t>
  </si>
  <si>
    <t>PNR Status Check</t>
  </si>
  <si>
    <t>1. Valid 10-digit PNR
2. Invalid 10-digit PNR (neg)
3. Less than 10 digits (neg)
4. More than 10 digits restricted</t>
  </si>
  <si>
    <t>TC_22</t>
  </si>
  <si>
    <t>TC_23</t>
  </si>
  <si>
    <t>TC_24</t>
  </si>
  <si>
    <t>TC_25</t>
  </si>
  <si>
    <t>App open, PNR section visible</t>
  </si>
  <si>
    <t>Valid 10-digit PNR</t>
  </si>
  <si>
    <t>1. Open PNR Check
2. Enter PNR → 6700914458
3. Click "Check Status"</t>
  </si>
  <si>
    <t>PNR status page opens with booking details</t>
  </si>
  <si>
    <t>PNR: 6700914458</t>
  </si>
  <si>
    <t>PNR status displayed</t>
  </si>
  <si>
    <t>REQ_SS-01.4.1</t>
  </si>
  <si>
    <t>Invalid 10-digit PNR</t>
  </si>
  <si>
    <t>1. Open PNR Check
2. Enter PNR → 3476986918
3. Click "Check Status"</t>
  </si>
  <si>
    <t>PNR: 3476986918</t>
  </si>
  <si>
    <t>Error message displayed: "Incorrect PNR Number"</t>
  </si>
  <si>
    <t>Error message shown</t>
  </si>
  <si>
    <t>Less than 10 digits</t>
  </si>
  <si>
    <t>Check Status button disabled</t>
  </si>
  <si>
    <t>1. Open PNR Check
2. Enter PNR → 1234
3. Try to click "Check Status"</t>
  </si>
  <si>
    <t>incomplete PNR: 1234</t>
  </si>
  <si>
    <t>Button disabled</t>
  </si>
  <si>
    <t>More than 10 digits</t>
  </si>
  <si>
    <t>Try entering 1234567890123</t>
  </si>
  <si>
    <t>1. Open PNR Check
2. Try entering 1234567890123</t>
  </si>
  <si>
    <t>Input restricted to 10 digits</t>
  </si>
  <si>
    <t>Only 10 digits accepted</t>
  </si>
  <si>
    <t>REQ_SS-01.4.2</t>
  </si>
  <si>
    <t>REQ_SS-01.4.3</t>
  </si>
  <si>
    <t>REQ_SS-01.4.4</t>
  </si>
  <si>
    <t>BR_07</t>
  </si>
  <si>
    <t>TR_07</t>
  </si>
  <si>
    <t>`1</t>
  </si>
  <si>
    <t>Completion Percentage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</si>
</sst>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10"/>
      <color rgb="FF000000"/>
      <name val="Arial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0"/>
      <color rgb="FF000000"/>
      <name val="Arial"/>
      <family val="2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rgb="FFFFFFFF"/>
      <name val="Calibri"/>
      <family val="2"/>
    </font>
    <font>
      <sz val="10"/>
      <color rgb="FF000000"/>
      <name val="Calibri"/>
      <family val="2"/>
    </font>
    <font>
      <b/>
      <sz val="10"/>
      <color rgb="FFC00000"/>
      <name val="Calibri"/>
      <family val="2"/>
    </font>
    <font>
      <b/>
      <sz val="10"/>
      <color rgb="FF2E75B6"/>
      <name val="Calibri"/>
      <family val="2"/>
    </font>
    <font>
      <b/>
      <sz val="10"/>
      <color rgb="FF000000"/>
      <name val="Calibri"/>
      <family val="2"/>
    </font>
    <font>
      <b/>
      <sz val="10"/>
      <color rgb="FF375623"/>
      <name val="Calibri"/>
      <family val="2"/>
    </font>
    <font>
      <sz val="10"/>
      <name val="Calibri"/>
      <family val="2"/>
    </font>
    <font>
      <b/>
      <sz val="10"/>
      <name val="Calibri"/>
      <family val="2"/>
    </font>
    <font>
      <b/>
      <sz val="14"/>
      <color rgb="FFFFFFFF"/>
      <name val="Calibri"/>
      <family val="2"/>
    </font>
  </fonts>
  <fills count="32">
    <fill>
      <patternFill patternType="none"/>
    </fill>
    <fill>
      <patternFill patternType="gray125"/>
    </fill>
    <fill>
      <patternFill patternType="solid">
        <fgColor rgb="FFDEEAF1"/>
        <bgColor rgb="FFDEEAF1"/>
      </patternFill>
    </fill>
    <fill>
      <patternFill patternType="solid">
        <fgColor rgb="FF7030A0"/>
        <bgColor rgb="FF1F3864"/>
      </patternFill>
    </fill>
    <fill>
      <patternFill patternType="solid">
        <fgColor rgb="FF92D050"/>
        <bgColor rgb="FFD9E1F2"/>
      </patternFill>
    </fill>
    <fill>
      <patternFill patternType="solid">
        <fgColor rgb="FFFFFF00"/>
        <bgColor rgb="FF2E75B6"/>
      </patternFill>
    </fill>
    <fill>
      <patternFill patternType="solid">
        <fgColor theme="0"/>
        <bgColor rgb="FFD9E1F2"/>
      </patternFill>
    </fill>
    <fill>
      <patternFill patternType="solid">
        <fgColor theme="0"/>
        <bgColor rgb="FF2E75B6"/>
      </patternFill>
    </fill>
    <fill>
      <patternFill patternType="solid">
        <fgColor theme="0"/>
        <bgColor rgb="FFDEEAF1"/>
      </patternFill>
    </fill>
    <fill>
      <patternFill patternType="solid">
        <fgColor theme="3" tint="0.39997558519241921"/>
        <bgColor rgb="FF1F3864"/>
      </patternFill>
    </fill>
    <fill>
      <patternFill patternType="solid">
        <fgColor theme="0"/>
        <bgColor rgb="FFEFF7FB"/>
      </patternFill>
    </fill>
    <fill>
      <patternFill patternType="solid">
        <fgColor theme="0"/>
        <bgColor rgb="FFFFFFFF"/>
      </patternFill>
    </fill>
    <fill>
      <patternFill patternType="solid">
        <fgColor theme="1"/>
        <bgColor rgb="FFEFF7FB"/>
      </patternFill>
    </fill>
    <fill>
      <patternFill patternType="solid">
        <fgColor theme="9"/>
        <bgColor rgb="FF1F38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rgb="FFFFFFFF"/>
      </patternFill>
    </fill>
    <fill>
      <patternFill patternType="solid">
        <fgColor rgb="FFF12F0F"/>
        <bgColor rgb="FFEFF7FB"/>
      </patternFill>
    </fill>
    <fill>
      <patternFill patternType="solid">
        <fgColor rgb="FF92D050"/>
        <bgColor rgb="FFEFF7FB"/>
      </patternFill>
    </fill>
    <fill>
      <patternFill patternType="solid">
        <fgColor rgb="FF1F497D"/>
        <bgColor rgb="FF1F497D"/>
      </patternFill>
    </fill>
    <fill>
      <patternFill patternType="solid">
        <fgColor rgb="FFFFFFFF"/>
        <bgColor rgb="FFFFFFFF"/>
      </patternFill>
    </fill>
    <fill>
      <patternFill patternType="solid">
        <fgColor rgb="FFEEF3F8"/>
        <bgColor rgb="FFEEF3F8"/>
      </patternFill>
    </fill>
    <fill>
      <patternFill patternType="solid">
        <fgColor theme="0"/>
        <bgColor rgb="FFEEF3F8"/>
      </patternFill>
    </fill>
    <fill>
      <patternFill patternType="solid">
        <fgColor rgb="FFFF0000"/>
        <bgColor rgb="FFEEF3F8"/>
      </patternFill>
    </fill>
    <fill>
      <patternFill patternType="solid">
        <fgColor rgb="FFFF0000"/>
        <bgColor rgb="FFFFFFFF"/>
      </patternFill>
    </fill>
    <fill>
      <patternFill patternType="solid">
        <fgColor rgb="FF00B050"/>
        <bgColor rgb="FFFFFFFF"/>
      </patternFill>
    </fill>
    <fill>
      <patternFill patternType="solid">
        <fgColor rgb="FF00B050"/>
        <bgColor rgb="FFEEF3F8"/>
      </patternFill>
    </fill>
    <fill>
      <patternFill patternType="solid">
        <fgColor rgb="FFF12F0F"/>
        <bgColor rgb="FFEEF3F8"/>
      </patternFill>
    </fill>
    <fill>
      <patternFill patternType="solid">
        <fgColor rgb="FFF12F0F"/>
        <bgColor rgb="FFFFFFFF"/>
      </patternFill>
    </fill>
    <fill>
      <patternFill patternType="solid">
        <fgColor rgb="FF00B0F0"/>
        <bgColor rgb="FF1F497D"/>
      </patternFill>
    </fill>
    <fill>
      <patternFill patternType="solid">
        <fgColor rgb="FFD6E4F0"/>
        <bgColor rgb="FFD6E4F0"/>
      </patternFill>
    </fill>
    <fill>
      <patternFill patternType="solid">
        <fgColor rgb="FF00B050"/>
        <bgColor indexed="64"/>
      </patternFill>
    </fill>
    <fill>
      <patternFill patternType="solid">
        <fgColor rgb="FFEEF3F8"/>
        <bgColor rgb="FFFFFFFF"/>
      </patternFill>
    </fill>
  </fills>
  <borders count="7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3">
    <xf numFmtId="0" fontId="0" fillId="0" borderId="0"/>
    <xf numFmtId="0" fontId="7" fillId="0" borderId="0" applyNumberFormat="0" applyFill="0" applyBorder="0" applyAlignment="0" applyProtection="0"/>
    <xf numFmtId="0" fontId="7" fillId="0" borderId="0"/>
  </cellStyleXfs>
  <cellXfs count="79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3" fillId="5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vertical="top" wrapText="1"/>
    </xf>
    <xf numFmtId="0" fontId="4" fillId="8" borderId="1" xfId="0" applyFont="1" applyFill="1" applyBorder="1" applyAlignment="1">
      <alignment horizontal="center" vertical="center" wrapText="1"/>
    </xf>
    <xf numFmtId="0" fontId="4" fillId="8" borderId="1" xfId="0" applyFont="1" applyFill="1" applyBorder="1" applyAlignment="1">
      <alignment vertical="top" wrapText="1"/>
    </xf>
    <xf numFmtId="0" fontId="3" fillId="8" borderId="1" xfId="0" applyFont="1" applyFill="1" applyBorder="1" applyAlignment="1">
      <alignment horizontal="center"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vertical="top" wrapText="1"/>
    </xf>
    <xf numFmtId="0" fontId="2" fillId="11" borderId="1" xfId="0" applyFont="1" applyFill="1" applyBorder="1" applyAlignment="1">
      <alignment vertical="top" wrapText="1"/>
    </xf>
    <xf numFmtId="0" fontId="2" fillId="12" borderId="1" xfId="0" applyFont="1" applyFill="1" applyBorder="1" applyAlignment="1">
      <alignment vertical="top" wrapText="1"/>
    </xf>
    <xf numFmtId="0" fontId="3" fillId="13" borderId="1" xfId="0" applyFont="1" applyFill="1" applyBorder="1" applyAlignment="1">
      <alignment horizontal="center" vertical="center" wrapText="1"/>
    </xf>
    <xf numFmtId="0" fontId="5" fillId="11" borderId="1" xfId="0" applyFont="1" applyFill="1" applyBorder="1" applyAlignment="1">
      <alignment vertical="top" wrapText="1"/>
    </xf>
    <xf numFmtId="0" fontId="2" fillId="15" borderId="1" xfId="0" applyFont="1" applyFill="1" applyBorder="1" applyAlignment="1">
      <alignment vertical="top" wrapText="1"/>
    </xf>
    <xf numFmtId="0" fontId="3" fillId="4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vertical="top" wrapText="1"/>
    </xf>
    <xf numFmtId="0" fontId="6" fillId="0" borderId="0" xfId="0" applyFont="1" applyAlignment="1">
      <alignment wrapText="1"/>
    </xf>
    <xf numFmtId="0" fontId="5" fillId="10" borderId="1" xfId="0" applyFont="1" applyFill="1" applyBorder="1" applyAlignment="1">
      <alignment vertical="top" wrapText="1"/>
    </xf>
    <xf numFmtId="0" fontId="2" fillId="16" borderId="1" xfId="0" applyFont="1" applyFill="1" applyBorder="1" applyAlignment="1">
      <alignment vertical="top" wrapText="1"/>
    </xf>
    <xf numFmtId="0" fontId="2" fillId="17" borderId="1" xfId="0" applyFont="1" applyFill="1" applyBorder="1" applyAlignment="1">
      <alignment vertical="top" wrapText="1"/>
    </xf>
    <xf numFmtId="0" fontId="5" fillId="15" borderId="1" xfId="0" applyFont="1" applyFill="1" applyBorder="1" applyAlignment="1">
      <alignment vertical="top" wrapText="1"/>
    </xf>
    <xf numFmtId="0" fontId="5" fillId="17" borderId="1" xfId="0" applyFont="1" applyFill="1" applyBorder="1" applyAlignment="1">
      <alignment vertical="top" wrapText="1"/>
    </xf>
    <xf numFmtId="0" fontId="9" fillId="19" borderId="2" xfId="0" applyFont="1" applyFill="1" applyBorder="1" applyAlignment="1">
      <alignment horizontal="center" vertical="center" wrapText="1"/>
    </xf>
    <xf numFmtId="0" fontId="9" fillId="19" borderId="2" xfId="0" applyFont="1" applyFill="1" applyBorder="1" applyAlignment="1">
      <alignment horizontal="left" vertical="top" wrapText="1"/>
    </xf>
    <xf numFmtId="0" fontId="10" fillId="19" borderId="2" xfId="0" applyFont="1" applyFill="1" applyBorder="1" applyAlignment="1">
      <alignment horizontal="center" vertical="center" wrapText="1"/>
    </xf>
    <xf numFmtId="0" fontId="11" fillId="19" borderId="2" xfId="0" applyFont="1" applyFill="1" applyBorder="1" applyAlignment="1">
      <alignment horizontal="center" vertical="center" wrapText="1"/>
    </xf>
    <xf numFmtId="0" fontId="7" fillId="19" borderId="2" xfId="1" applyFill="1" applyBorder="1" applyAlignment="1">
      <alignment horizontal="center" vertical="center" wrapText="1"/>
    </xf>
    <xf numFmtId="0" fontId="12" fillId="19" borderId="2" xfId="0" applyFont="1" applyFill="1" applyBorder="1" applyAlignment="1">
      <alignment horizontal="center" vertical="center" wrapText="1"/>
    </xf>
    <xf numFmtId="0" fontId="12" fillId="20" borderId="2" xfId="0" applyFont="1" applyFill="1" applyBorder="1" applyAlignment="1">
      <alignment horizontal="center" vertical="center" wrapText="1"/>
    </xf>
    <xf numFmtId="0" fontId="9" fillId="11" borderId="2" xfId="0" applyFont="1" applyFill="1" applyBorder="1" applyAlignment="1">
      <alignment horizontal="center" vertical="center" wrapText="1"/>
    </xf>
    <xf numFmtId="0" fontId="9" fillId="21" borderId="2" xfId="0" applyFont="1" applyFill="1" applyBorder="1" applyAlignment="1">
      <alignment horizontal="center" vertical="center" wrapText="1"/>
    </xf>
    <xf numFmtId="0" fontId="14" fillId="11" borderId="2" xfId="0" applyFont="1" applyFill="1" applyBorder="1" applyAlignment="1">
      <alignment horizontal="center" vertical="center" wrapText="1"/>
    </xf>
    <xf numFmtId="0" fontId="14" fillId="21" borderId="2" xfId="0" applyFont="1" applyFill="1" applyBorder="1" applyAlignment="1">
      <alignment horizontal="center" vertical="center" wrapText="1"/>
    </xf>
    <xf numFmtId="0" fontId="14" fillId="22" borderId="2" xfId="0" applyFont="1" applyFill="1" applyBorder="1" applyAlignment="1">
      <alignment horizontal="center" vertical="center" wrapText="1"/>
    </xf>
    <xf numFmtId="0" fontId="14" fillId="24" borderId="2" xfId="0" applyFont="1" applyFill="1" applyBorder="1" applyAlignment="1">
      <alignment horizontal="center" vertical="center" wrapText="1"/>
    </xf>
    <xf numFmtId="0" fontId="14" fillId="25" borderId="2" xfId="0" applyFont="1" applyFill="1" applyBorder="1" applyAlignment="1">
      <alignment horizontal="center" vertical="center" wrapText="1"/>
    </xf>
    <xf numFmtId="0" fontId="14" fillId="26" borderId="2" xfId="0" applyFont="1" applyFill="1" applyBorder="1" applyAlignment="1">
      <alignment horizontal="center" vertical="center" wrapText="1"/>
    </xf>
    <xf numFmtId="0" fontId="14" fillId="27" borderId="2" xfId="0" applyFont="1" applyFill="1" applyBorder="1" applyAlignment="1">
      <alignment horizontal="center" vertical="center" wrapText="1"/>
    </xf>
    <xf numFmtId="0" fontId="14" fillId="23" borderId="2" xfId="0" applyFont="1" applyFill="1" applyBorder="1" applyAlignment="1">
      <alignment horizontal="center" vertical="center" wrapText="1"/>
    </xf>
    <xf numFmtId="0" fontId="8" fillId="28" borderId="2" xfId="0" applyFont="1" applyFill="1" applyBorder="1" applyAlignment="1">
      <alignment horizontal="center" vertical="center" wrapText="1"/>
    </xf>
    <xf numFmtId="0" fontId="15" fillId="28" borderId="2" xfId="0" applyFont="1" applyFill="1" applyBorder="1" applyAlignment="1">
      <alignment horizontal="center" vertical="center" wrapText="1"/>
    </xf>
    <xf numFmtId="0" fontId="9" fillId="19" borderId="2" xfId="0" applyFont="1" applyFill="1" applyBorder="1" applyAlignment="1">
      <alignment horizontal="center" vertical="center" wrapText="1"/>
    </xf>
    <xf numFmtId="0" fontId="9" fillId="19" borderId="2" xfId="0" applyFont="1" applyFill="1" applyBorder="1" applyAlignment="1">
      <alignment horizontal="left" vertical="top" wrapText="1"/>
    </xf>
    <xf numFmtId="0" fontId="10" fillId="19" borderId="2" xfId="0" applyFont="1" applyFill="1" applyBorder="1" applyAlignment="1">
      <alignment horizontal="center" vertical="center" wrapText="1"/>
    </xf>
    <xf numFmtId="0" fontId="8" fillId="18" borderId="2" xfId="0" applyFont="1" applyFill="1" applyBorder="1" applyAlignment="1">
      <alignment horizontal="center" vertical="center" wrapText="1"/>
    </xf>
    <xf numFmtId="0" fontId="12" fillId="20" borderId="2" xfId="0" applyFont="1" applyFill="1" applyBorder="1" applyAlignment="1">
      <alignment horizontal="left" vertical="top" wrapText="1"/>
    </xf>
    <xf numFmtId="0" fontId="9" fillId="20" borderId="2" xfId="0" applyFont="1" applyFill="1" applyBorder="1" applyAlignment="1">
      <alignment horizontal="left" vertical="top" wrapText="1"/>
    </xf>
    <xf numFmtId="0" fontId="9" fillId="20" borderId="2" xfId="0" applyFont="1" applyFill="1" applyBorder="1" applyAlignment="1">
      <alignment horizontal="center" vertical="center" wrapText="1"/>
    </xf>
    <xf numFmtId="0" fontId="13" fillId="20" borderId="2" xfId="0" applyFont="1" applyFill="1" applyBorder="1" applyAlignment="1">
      <alignment horizontal="center" vertical="center" wrapText="1"/>
    </xf>
    <xf numFmtId="0" fontId="10" fillId="20" borderId="2" xfId="0" applyFont="1" applyFill="1" applyBorder="1" applyAlignment="1">
      <alignment horizontal="center" vertical="center" wrapText="1"/>
    </xf>
    <xf numFmtId="9" fontId="14" fillId="20" borderId="2" xfId="0" applyNumberFormat="1" applyFont="1" applyFill="1" applyBorder="1" applyAlignment="1">
      <alignment horizontal="center" vertical="center" wrapText="1"/>
    </xf>
    <xf numFmtId="0" fontId="13" fillId="19" borderId="2" xfId="0" applyFont="1" applyFill="1" applyBorder="1" applyAlignment="1">
      <alignment horizontal="center" vertical="center" wrapText="1"/>
    </xf>
    <xf numFmtId="9" fontId="14" fillId="19" borderId="2" xfId="0" applyNumberFormat="1" applyFont="1" applyFill="1" applyBorder="1" applyAlignment="1">
      <alignment horizontal="center" vertical="center" wrapText="1"/>
    </xf>
    <xf numFmtId="0" fontId="12" fillId="29" borderId="2" xfId="0" applyFont="1" applyFill="1" applyBorder="1" applyAlignment="1">
      <alignment horizontal="center" vertical="center" wrapText="1"/>
    </xf>
    <xf numFmtId="0" fontId="13" fillId="29" borderId="2" xfId="0" applyFont="1" applyFill="1" applyBorder="1" applyAlignment="1">
      <alignment horizontal="center" vertical="center" wrapText="1"/>
    </xf>
    <xf numFmtId="0" fontId="10" fillId="29" borderId="2" xfId="0" applyFont="1" applyFill="1" applyBorder="1" applyAlignment="1">
      <alignment horizontal="center" vertical="center" wrapText="1"/>
    </xf>
    <xf numFmtId="9" fontId="15" fillId="29" borderId="2" xfId="0" applyNumberFormat="1" applyFont="1" applyFill="1" applyBorder="1" applyAlignment="1">
      <alignment horizontal="center" vertical="center" wrapText="1"/>
    </xf>
    <xf numFmtId="0" fontId="0" fillId="0" borderId="0" xfId="0"/>
    <xf numFmtId="0" fontId="1" fillId="7" borderId="1" xfId="0" applyFont="1" applyFill="1" applyBorder="1" applyAlignment="1">
      <alignment horizontal="left" vertical="center" wrapText="1"/>
    </xf>
    <xf numFmtId="0" fontId="0" fillId="14" borderId="0" xfId="0" applyFill="1" applyAlignment="1">
      <alignment wrapText="1"/>
    </xf>
    <xf numFmtId="0" fontId="16" fillId="18" borderId="0" xfId="0" applyFont="1" applyFill="1" applyAlignment="1">
      <alignment horizontal="center" vertical="center" wrapText="1"/>
    </xf>
    <xf numFmtId="0" fontId="0" fillId="0" borderId="0" xfId="0"/>
    <xf numFmtId="0" fontId="8" fillId="18" borderId="3" xfId="0" applyFont="1" applyFill="1" applyBorder="1" applyAlignment="1">
      <alignment horizontal="center" vertical="center" wrapText="1"/>
    </xf>
    <xf numFmtId="0" fontId="8" fillId="18" borderId="4" xfId="0" applyFont="1" applyFill="1" applyBorder="1" applyAlignment="1">
      <alignment horizontal="center" vertical="center" wrapText="1"/>
    </xf>
    <xf numFmtId="0" fontId="14" fillId="24" borderId="6" xfId="0" applyFont="1" applyFill="1" applyBorder="1" applyAlignment="1">
      <alignment horizontal="center" vertical="center" wrapText="1"/>
    </xf>
    <xf numFmtId="0" fontId="9" fillId="11" borderId="6" xfId="0" applyFont="1" applyFill="1" applyBorder="1" applyAlignment="1">
      <alignment horizontal="center" vertical="center" wrapText="1"/>
    </xf>
    <xf numFmtId="0" fontId="14" fillId="11" borderId="6" xfId="0" applyFont="1" applyFill="1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30" borderId="5" xfId="0" applyFill="1" applyBorder="1" applyAlignment="1">
      <alignment horizontal="center" vertical="center" wrapText="1"/>
    </xf>
    <xf numFmtId="0" fontId="0" fillId="0" borderId="5" xfId="0" applyFont="1" applyBorder="1" applyAlignment="1">
      <alignment horizontal="center" vertical="center" wrapText="1"/>
    </xf>
    <xf numFmtId="0" fontId="9" fillId="31" borderId="2" xfId="0" applyFont="1" applyFill="1" applyBorder="1" applyAlignment="1">
      <alignment horizontal="left" vertical="top" wrapText="1"/>
    </xf>
    <xf numFmtId="0" fontId="9" fillId="31" borderId="2" xfId="0" applyFont="1" applyFill="1" applyBorder="1" applyAlignment="1">
      <alignment horizontal="center" vertical="center" wrapText="1"/>
    </xf>
    <xf numFmtId="0" fontId="13" fillId="31" borderId="2" xfId="0" applyFont="1" applyFill="1" applyBorder="1" applyAlignment="1">
      <alignment horizontal="center" vertical="center" wrapText="1"/>
    </xf>
    <xf numFmtId="0" fontId="12" fillId="31" borderId="2" xfId="0" applyFont="1" applyFill="1" applyBorder="1" applyAlignment="1">
      <alignment horizontal="center" vertical="center" wrapText="1"/>
    </xf>
    <xf numFmtId="9" fontId="14" fillId="31" borderId="2" xfId="0" applyNumberFormat="1" applyFont="1" applyFill="1" applyBorder="1" applyAlignment="1">
      <alignment horizontal="center" vertical="center" wrapText="1"/>
    </xf>
  </cellXfs>
  <cellStyles count="3">
    <cellStyle name="Hyperlink" xfId="1" builtinId="8"/>
    <cellStyle name="Hyperlink 2" xfId="2" xr:uid="{8B207788-D8C1-4F80-8E81-707DCAD388C3}"/>
    <cellStyle name="Normal" xfId="0" builtinId="0"/>
  </cellStyles>
  <dxfs count="0"/>
  <tableStyles count="0" defaultTableStyle="TableStyleMedium9" defaultPivotStyle="PivotStyleLight16"/>
  <colors>
    <mruColors>
      <color rgb="FFEEF3F8"/>
      <color rgb="FFF12F0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hyperlink" Target="mailto:abc@gmail.com" TargetMode="External"/><Relationship Id="rId1" Type="http://schemas.openxmlformats.org/officeDocument/2006/relationships/hyperlink" Target="mailto:xyz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6"/>
  <sheetViews>
    <sheetView showGridLines="0" tabSelected="1" workbookViewId="0">
      <pane ySplit="1" topLeftCell="A2" activePane="bottomLeft" state="frozen"/>
      <selection pane="bottomLeft" activeCell="C16" sqref="C16"/>
    </sheetView>
  </sheetViews>
  <sheetFormatPr defaultRowHeight="14.4" x14ac:dyDescent="0.3"/>
  <cols>
    <col min="1" max="1" width="14.33203125" style="3" customWidth="1"/>
    <col min="2" max="2" width="14" style="3" customWidth="1"/>
    <col min="3" max="3" width="86.21875" style="3" customWidth="1"/>
    <col min="4" max="4" width="13.77734375" style="3" customWidth="1"/>
    <col min="5" max="5" width="12" style="3" customWidth="1"/>
    <col min="6" max="16384" width="8.88671875" style="3"/>
  </cols>
  <sheetData>
    <row r="1" spans="1:4" ht="22.05" customHeight="1" x14ac:dyDescent="0.3">
      <c r="A1" s="2" t="s">
        <v>0</v>
      </c>
      <c r="B1" s="2" t="s">
        <v>1</v>
      </c>
      <c r="C1" s="2" t="s">
        <v>142</v>
      </c>
      <c r="D1" s="2" t="s">
        <v>2</v>
      </c>
    </row>
    <row r="2" spans="1:4" s="20" customFormat="1" ht="19.8" customHeight="1" x14ac:dyDescent="0.3">
      <c r="A2" s="18" t="s">
        <v>3</v>
      </c>
      <c r="B2" s="5" t="s">
        <v>4</v>
      </c>
      <c r="C2" s="19" t="s">
        <v>5</v>
      </c>
      <c r="D2" s="5" t="s">
        <v>6</v>
      </c>
    </row>
    <row r="3" spans="1:4" ht="25.2" customHeight="1" x14ac:dyDescent="0.3">
      <c r="A3" s="4" t="s">
        <v>7</v>
      </c>
      <c r="B3" s="6" t="s">
        <v>8</v>
      </c>
      <c r="C3" s="7" t="s">
        <v>9</v>
      </c>
      <c r="D3" s="6" t="s">
        <v>6</v>
      </c>
    </row>
    <row r="4" spans="1:4" ht="19.2" customHeight="1" x14ac:dyDescent="0.3">
      <c r="A4" s="1" t="s">
        <v>10</v>
      </c>
      <c r="B4" s="8" t="s">
        <v>11</v>
      </c>
      <c r="C4" s="9" t="s">
        <v>12</v>
      </c>
      <c r="D4" s="10"/>
    </row>
    <row r="5" spans="1:4" ht="17.399999999999999" customHeight="1" x14ac:dyDescent="0.3">
      <c r="A5" s="1" t="s">
        <v>10</v>
      </c>
      <c r="B5" s="8" t="s">
        <v>13</v>
      </c>
      <c r="C5" s="9" t="s">
        <v>14</v>
      </c>
      <c r="D5" s="10"/>
    </row>
    <row r="6" spans="1:4" ht="24.6" customHeight="1" x14ac:dyDescent="0.3">
      <c r="A6" s="4" t="s">
        <v>7</v>
      </c>
      <c r="B6" s="6" t="s">
        <v>16</v>
      </c>
      <c r="C6" s="7" t="s">
        <v>17</v>
      </c>
      <c r="D6" s="6" t="s">
        <v>15</v>
      </c>
    </row>
    <row r="7" spans="1:4" ht="19.2" customHeight="1" x14ac:dyDescent="0.3">
      <c r="A7" s="1" t="s">
        <v>10</v>
      </c>
      <c r="B7" s="8" t="s">
        <v>18</v>
      </c>
      <c r="C7" s="9" t="s">
        <v>19</v>
      </c>
      <c r="D7" s="10"/>
    </row>
    <row r="8" spans="1:4" ht="19.8" customHeight="1" x14ac:dyDescent="0.3">
      <c r="A8" s="1" t="s">
        <v>10</v>
      </c>
      <c r="B8" s="8" t="s">
        <v>20</v>
      </c>
      <c r="C8" s="9" t="s">
        <v>21</v>
      </c>
      <c r="D8" s="10"/>
    </row>
    <row r="9" spans="1:4" ht="21" customHeight="1" x14ac:dyDescent="0.3">
      <c r="A9" s="4" t="s">
        <v>7</v>
      </c>
      <c r="B9" s="6" t="s">
        <v>22</v>
      </c>
      <c r="C9" s="7" t="s">
        <v>23</v>
      </c>
      <c r="D9" s="6" t="s">
        <v>15</v>
      </c>
    </row>
    <row r="10" spans="1:4" ht="18" customHeight="1" x14ac:dyDescent="0.3">
      <c r="A10" s="1" t="s">
        <v>10</v>
      </c>
      <c r="B10" s="8" t="s">
        <v>24</v>
      </c>
      <c r="C10" s="9" t="s">
        <v>25</v>
      </c>
      <c r="D10" s="10"/>
    </row>
    <row r="11" spans="1:4" ht="17.399999999999999" customHeight="1" x14ac:dyDescent="0.3">
      <c r="A11" s="1" t="s">
        <v>10</v>
      </c>
      <c r="B11" s="8" t="s">
        <v>26</v>
      </c>
      <c r="C11" s="9" t="s">
        <v>27</v>
      </c>
      <c r="D11" s="10"/>
    </row>
    <row r="12" spans="1:4" ht="24.6" customHeight="1" x14ac:dyDescent="0.3">
      <c r="A12" s="4" t="s">
        <v>7</v>
      </c>
      <c r="B12" s="6" t="s">
        <v>257</v>
      </c>
      <c r="C12" s="7" t="s">
        <v>258</v>
      </c>
      <c r="D12" s="6" t="s">
        <v>6</v>
      </c>
    </row>
    <row r="13" spans="1:4" ht="19.2" customHeight="1" x14ac:dyDescent="0.3">
      <c r="A13" s="1" t="s">
        <v>10</v>
      </c>
      <c r="B13" s="8" t="s">
        <v>259</v>
      </c>
      <c r="C13" s="9" t="s">
        <v>261</v>
      </c>
      <c r="D13" s="10"/>
    </row>
    <row r="14" spans="1:4" ht="18" customHeight="1" x14ac:dyDescent="0.3">
      <c r="A14" s="1" t="s">
        <v>10</v>
      </c>
      <c r="B14" s="8" t="s">
        <v>260</v>
      </c>
      <c r="C14" s="9" t="s">
        <v>262</v>
      </c>
      <c r="D14" s="10"/>
    </row>
    <row r="15" spans="1:4" ht="19.8" customHeight="1" x14ac:dyDescent="0.3">
      <c r="A15" s="1" t="s">
        <v>10</v>
      </c>
      <c r="B15" s="8" t="s">
        <v>263</v>
      </c>
      <c r="C15" s="9" t="s">
        <v>265</v>
      </c>
      <c r="D15" s="10"/>
    </row>
    <row r="16" spans="1:4" ht="19.8" customHeight="1" x14ac:dyDescent="0.3">
      <c r="A16" s="1" t="s">
        <v>10</v>
      </c>
      <c r="B16" s="8" t="s">
        <v>264</v>
      </c>
      <c r="C16" s="9" t="s">
        <v>266</v>
      </c>
      <c r="D16" s="10"/>
    </row>
  </sheetData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1"/>
  <sheetViews>
    <sheetView showGridLines="0" workbookViewId="0">
      <pane ySplit="1" topLeftCell="A2" activePane="bottomLeft" state="frozen"/>
      <selection pane="bottomLeft" activeCell="F5" sqref="F5"/>
    </sheetView>
  </sheetViews>
  <sheetFormatPr defaultRowHeight="14.4" x14ac:dyDescent="0.3"/>
  <cols>
    <col min="1" max="1" width="22" customWidth="1"/>
    <col min="2" max="2" width="18" customWidth="1"/>
    <col min="3" max="3" width="48" customWidth="1"/>
    <col min="4" max="4" width="22" customWidth="1"/>
    <col min="5" max="5" width="10" customWidth="1"/>
    <col min="6" max="6" width="55" customWidth="1"/>
  </cols>
  <sheetData>
    <row r="1" spans="1:6" ht="22.05" customHeight="1" x14ac:dyDescent="0.3">
      <c r="A1" s="11" t="s">
        <v>28</v>
      </c>
      <c r="B1" s="11" t="s">
        <v>29</v>
      </c>
      <c r="C1" s="11" t="s">
        <v>30</v>
      </c>
      <c r="D1" s="11" t="s">
        <v>31</v>
      </c>
      <c r="E1" s="11" t="s">
        <v>32</v>
      </c>
      <c r="F1" s="11" t="s">
        <v>33</v>
      </c>
    </row>
    <row r="2" spans="1:6" ht="111" customHeight="1" x14ac:dyDescent="0.3">
      <c r="A2" s="21" t="s">
        <v>185</v>
      </c>
      <c r="B2" s="12" t="s">
        <v>34</v>
      </c>
      <c r="C2" s="12" t="s">
        <v>35</v>
      </c>
      <c r="D2" s="12" t="s">
        <v>36</v>
      </c>
      <c r="E2" s="12" t="s">
        <v>37</v>
      </c>
      <c r="F2" s="12" t="s">
        <v>38</v>
      </c>
    </row>
    <row r="3" spans="1:6" ht="16.8" customHeight="1" x14ac:dyDescent="0.3">
      <c r="A3" s="16" t="s">
        <v>186</v>
      </c>
      <c r="B3" s="13" t="s">
        <v>39</v>
      </c>
      <c r="C3" s="13" t="s">
        <v>40</v>
      </c>
      <c r="D3" s="13" t="s">
        <v>36</v>
      </c>
      <c r="E3" s="13">
        <v>1</v>
      </c>
      <c r="F3" s="16" t="s">
        <v>217</v>
      </c>
    </row>
    <row r="4" spans="1:6" ht="3.6" customHeight="1" x14ac:dyDescent="0.3">
      <c r="A4" s="14"/>
      <c r="B4" s="14"/>
      <c r="C4" s="14"/>
      <c r="D4" s="14"/>
      <c r="E4" s="14"/>
      <c r="F4" s="14"/>
    </row>
    <row r="5" spans="1:6" ht="69.599999999999994" customHeight="1" x14ac:dyDescent="0.3">
      <c r="A5" s="21" t="s">
        <v>187</v>
      </c>
      <c r="B5" s="12" t="s">
        <v>41</v>
      </c>
      <c r="C5" s="12" t="s">
        <v>42</v>
      </c>
      <c r="D5" s="12" t="s">
        <v>36</v>
      </c>
      <c r="E5" s="12">
        <v>3</v>
      </c>
      <c r="F5" s="21" t="s">
        <v>218</v>
      </c>
    </row>
    <row r="6" spans="1:6" ht="58.2" customHeight="1" x14ac:dyDescent="0.3">
      <c r="A6" s="16" t="s">
        <v>188</v>
      </c>
      <c r="B6" s="13" t="s">
        <v>43</v>
      </c>
      <c r="C6" s="13" t="s">
        <v>44</v>
      </c>
      <c r="D6" s="13" t="s">
        <v>36</v>
      </c>
      <c r="E6" s="13">
        <v>3</v>
      </c>
      <c r="F6" s="16" t="s">
        <v>219</v>
      </c>
    </row>
    <row r="7" spans="1:6" ht="3.6" customHeight="1" x14ac:dyDescent="0.3">
      <c r="A7" s="14"/>
      <c r="B7" s="14"/>
      <c r="C7" s="14"/>
      <c r="D7" s="14"/>
      <c r="E7" s="14"/>
      <c r="F7" s="14"/>
    </row>
    <row r="8" spans="1:6" ht="45" customHeight="1" x14ac:dyDescent="0.3">
      <c r="A8" s="16" t="s">
        <v>189</v>
      </c>
      <c r="B8" s="13" t="s">
        <v>45</v>
      </c>
      <c r="C8" s="13" t="s">
        <v>46</v>
      </c>
      <c r="D8" s="13" t="s">
        <v>36</v>
      </c>
      <c r="E8" s="13">
        <v>3</v>
      </c>
      <c r="F8" s="13" t="s">
        <v>167</v>
      </c>
    </row>
    <row r="9" spans="1:6" ht="47.4" customHeight="1" x14ac:dyDescent="0.3">
      <c r="A9" s="21" t="s">
        <v>190</v>
      </c>
      <c r="B9" s="12" t="s">
        <v>47</v>
      </c>
      <c r="C9" s="12" t="s">
        <v>48</v>
      </c>
      <c r="D9" s="12" t="s">
        <v>36</v>
      </c>
      <c r="E9" s="12">
        <v>3</v>
      </c>
      <c r="F9" s="21" t="s">
        <v>170</v>
      </c>
    </row>
    <row r="10" spans="1:6" ht="3" customHeight="1" x14ac:dyDescent="0.3">
      <c r="A10" s="14"/>
      <c r="B10" s="14"/>
      <c r="C10" s="14"/>
      <c r="D10" s="14"/>
      <c r="E10" s="14"/>
      <c r="F10" s="14"/>
    </row>
    <row r="11" spans="1:6" ht="58.2" customHeight="1" x14ac:dyDescent="0.3">
      <c r="A11" s="16" t="s">
        <v>267</v>
      </c>
      <c r="B11" s="13" t="s">
        <v>268</v>
      </c>
      <c r="C11" s="13" t="s">
        <v>269</v>
      </c>
      <c r="D11" s="13" t="s">
        <v>36</v>
      </c>
      <c r="E11" s="13">
        <v>4</v>
      </c>
      <c r="F11" s="13" t="s">
        <v>270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32"/>
  <sheetViews>
    <sheetView showGridLines="0" topLeftCell="B1" workbookViewId="0">
      <pane ySplit="1" topLeftCell="A9" activePane="bottomLeft" state="frozen"/>
      <selection pane="bottomLeft" activeCell="H15" sqref="H15"/>
    </sheetView>
  </sheetViews>
  <sheetFormatPr defaultRowHeight="14.4" x14ac:dyDescent="0.3"/>
  <cols>
    <col min="1" max="1" width="15" style="3" customWidth="1"/>
    <col min="2" max="2" width="20" style="3" customWidth="1"/>
    <col min="3" max="3" width="26.77734375" style="3" customWidth="1"/>
    <col min="4" max="4" width="32" style="3" customWidth="1"/>
    <col min="5" max="5" width="38" style="3" customWidth="1"/>
    <col min="6" max="6" width="26" style="3" customWidth="1"/>
    <col min="7" max="7" width="38.44140625" style="3" customWidth="1"/>
    <col min="8" max="8" width="22" style="3" customWidth="1"/>
    <col min="9" max="9" width="14" style="3" customWidth="1"/>
    <col min="10" max="10" width="22" style="3" customWidth="1"/>
    <col min="11" max="11" width="14" style="3" customWidth="1"/>
    <col min="12" max="12" width="16" style="3" customWidth="1"/>
    <col min="13" max="16384" width="8.88671875" style="3"/>
  </cols>
  <sheetData>
    <row r="1" spans="1:12" ht="36" customHeight="1" x14ac:dyDescent="0.3">
      <c r="A1" s="15" t="s">
        <v>49</v>
      </c>
      <c r="B1" s="15" t="s">
        <v>28</v>
      </c>
      <c r="C1" s="15" t="s">
        <v>50</v>
      </c>
      <c r="D1" s="15" t="s">
        <v>51</v>
      </c>
      <c r="E1" s="15" t="s">
        <v>52</v>
      </c>
      <c r="F1" s="15" t="s">
        <v>53</v>
      </c>
      <c r="G1" s="15" t="s">
        <v>54</v>
      </c>
      <c r="H1" s="15" t="s">
        <v>55</v>
      </c>
      <c r="I1" s="15" t="s">
        <v>56</v>
      </c>
      <c r="J1" s="15" t="s">
        <v>57</v>
      </c>
      <c r="K1" s="15" t="s">
        <v>58</v>
      </c>
      <c r="L1" s="15" t="s">
        <v>59</v>
      </c>
    </row>
    <row r="2" spans="1:12" ht="41.4" customHeight="1" x14ac:dyDescent="0.3">
      <c r="A2" s="16" t="s">
        <v>191</v>
      </c>
      <c r="B2" s="13" t="s">
        <v>185</v>
      </c>
      <c r="C2" s="13" t="s">
        <v>60</v>
      </c>
      <c r="D2" s="13" t="s">
        <v>61</v>
      </c>
      <c r="E2" s="13" t="s">
        <v>62</v>
      </c>
      <c r="F2" s="13" t="s">
        <v>63</v>
      </c>
      <c r="G2" s="13" t="s">
        <v>64</v>
      </c>
      <c r="H2" s="13" t="s">
        <v>143</v>
      </c>
      <c r="I2" s="17" t="s">
        <v>144</v>
      </c>
      <c r="J2" s="13"/>
      <c r="K2" s="13"/>
      <c r="L2" s="13" t="s">
        <v>34</v>
      </c>
    </row>
    <row r="3" spans="1:12" ht="41.4" customHeight="1" x14ac:dyDescent="0.3">
      <c r="A3" s="16" t="s">
        <v>192</v>
      </c>
      <c r="B3" s="13" t="s">
        <v>185</v>
      </c>
      <c r="C3" s="13" t="s">
        <v>60</v>
      </c>
      <c r="D3" s="16" t="s">
        <v>171</v>
      </c>
      <c r="E3" s="16" t="s">
        <v>172</v>
      </c>
      <c r="F3" s="16" t="s">
        <v>173</v>
      </c>
      <c r="G3" s="13" t="s">
        <v>64</v>
      </c>
      <c r="H3" s="16" t="s">
        <v>174</v>
      </c>
      <c r="I3" s="17" t="s">
        <v>144</v>
      </c>
      <c r="J3" s="13"/>
      <c r="K3" s="13"/>
      <c r="L3" s="13" t="s">
        <v>34</v>
      </c>
    </row>
    <row r="4" spans="1:12" ht="44.4" customHeight="1" x14ac:dyDescent="0.3">
      <c r="A4" s="12" t="s">
        <v>193</v>
      </c>
      <c r="B4" s="12" t="s">
        <v>185</v>
      </c>
      <c r="C4" s="12" t="s">
        <v>60</v>
      </c>
      <c r="D4" s="12" t="s">
        <v>65</v>
      </c>
      <c r="E4" s="12" t="s">
        <v>66</v>
      </c>
      <c r="F4" s="12" t="s">
        <v>67</v>
      </c>
      <c r="G4" s="12" t="s">
        <v>68</v>
      </c>
      <c r="H4" s="12" t="s">
        <v>145</v>
      </c>
      <c r="I4" s="23" t="s">
        <v>144</v>
      </c>
      <c r="J4" s="12"/>
      <c r="K4" s="12"/>
      <c r="L4" s="12" t="s">
        <v>34</v>
      </c>
    </row>
    <row r="5" spans="1:12" ht="43.8" customHeight="1" x14ac:dyDescent="0.3">
      <c r="A5" s="13" t="s">
        <v>194</v>
      </c>
      <c r="B5" s="13" t="s">
        <v>185</v>
      </c>
      <c r="C5" s="16" t="s">
        <v>60</v>
      </c>
      <c r="D5" s="13" t="s">
        <v>69</v>
      </c>
      <c r="E5" s="13" t="s">
        <v>70</v>
      </c>
      <c r="F5" s="13" t="s">
        <v>71</v>
      </c>
      <c r="G5" s="13" t="s">
        <v>72</v>
      </c>
      <c r="H5" s="13" t="s">
        <v>146</v>
      </c>
      <c r="I5" s="17" t="s">
        <v>144</v>
      </c>
      <c r="J5" s="13"/>
      <c r="K5" s="13"/>
      <c r="L5" s="13" t="s">
        <v>34</v>
      </c>
    </row>
    <row r="6" spans="1:12" ht="43.2" customHeight="1" x14ac:dyDescent="0.3">
      <c r="A6" s="12" t="s">
        <v>195</v>
      </c>
      <c r="B6" s="12" t="s">
        <v>185</v>
      </c>
      <c r="C6" s="12" t="s">
        <v>60</v>
      </c>
      <c r="D6" s="12" t="s">
        <v>73</v>
      </c>
      <c r="E6" s="12" t="s">
        <v>74</v>
      </c>
      <c r="F6" s="12" t="s">
        <v>75</v>
      </c>
      <c r="G6" s="12" t="s">
        <v>76</v>
      </c>
      <c r="H6" s="12" t="s">
        <v>147</v>
      </c>
      <c r="I6" s="22" t="s">
        <v>148</v>
      </c>
      <c r="J6" s="12" t="s">
        <v>149</v>
      </c>
      <c r="K6" s="22" t="s">
        <v>148</v>
      </c>
      <c r="L6" s="12" t="s">
        <v>34</v>
      </c>
    </row>
    <row r="7" spans="1:12" ht="30" customHeight="1" x14ac:dyDescent="0.3">
      <c r="A7" s="13" t="s">
        <v>196</v>
      </c>
      <c r="B7" s="13" t="s">
        <v>185</v>
      </c>
      <c r="C7" s="13" t="s">
        <v>60</v>
      </c>
      <c r="D7" s="13" t="s">
        <v>77</v>
      </c>
      <c r="E7" s="13" t="s">
        <v>78</v>
      </c>
      <c r="F7" s="13" t="s">
        <v>79</v>
      </c>
      <c r="G7" s="13" t="s">
        <v>80</v>
      </c>
      <c r="H7" s="13" t="s">
        <v>150</v>
      </c>
      <c r="I7" s="17" t="s">
        <v>144</v>
      </c>
      <c r="J7" s="13"/>
      <c r="K7" s="13"/>
      <c r="L7" s="13" t="s">
        <v>34</v>
      </c>
    </row>
    <row r="8" spans="1:12" ht="30" customHeight="1" x14ac:dyDescent="0.3">
      <c r="A8" s="12" t="s">
        <v>197</v>
      </c>
      <c r="B8" s="12" t="s">
        <v>185</v>
      </c>
      <c r="C8" s="12" t="s">
        <v>60</v>
      </c>
      <c r="D8" s="12" t="s">
        <v>81</v>
      </c>
      <c r="E8" s="12" t="s">
        <v>82</v>
      </c>
      <c r="F8" s="12" t="s">
        <v>83</v>
      </c>
      <c r="G8" s="12" t="s">
        <v>84</v>
      </c>
      <c r="H8" s="12" t="s">
        <v>151</v>
      </c>
      <c r="I8" s="23" t="s">
        <v>144</v>
      </c>
      <c r="J8" s="12"/>
      <c r="K8" s="12"/>
      <c r="L8" s="12" t="s">
        <v>34</v>
      </c>
    </row>
    <row r="9" spans="1:12" ht="29.4" customHeight="1" x14ac:dyDescent="0.3">
      <c r="A9" s="13" t="s">
        <v>198</v>
      </c>
      <c r="B9" s="13" t="s">
        <v>185</v>
      </c>
      <c r="C9" s="13" t="s">
        <v>60</v>
      </c>
      <c r="D9" s="13" t="s">
        <v>85</v>
      </c>
      <c r="E9" s="13" t="s">
        <v>86</v>
      </c>
      <c r="F9" s="13" t="s">
        <v>87</v>
      </c>
      <c r="G9" s="13" t="s">
        <v>84</v>
      </c>
      <c r="H9" s="13" t="s">
        <v>151</v>
      </c>
      <c r="I9" s="17" t="s">
        <v>144</v>
      </c>
      <c r="J9" s="13"/>
      <c r="K9" s="13"/>
      <c r="L9" s="13" t="s">
        <v>34</v>
      </c>
    </row>
    <row r="10" spans="1:12" ht="18" customHeight="1" x14ac:dyDescent="0.3">
      <c r="A10" s="62" t="s">
        <v>199</v>
      </c>
      <c r="B10" s="63"/>
      <c r="C10" s="63"/>
      <c r="D10" s="63"/>
      <c r="E10" s="63"/>
      <c r="F10" s="63"/>
      <c r="G10" s="63"/>
      <c r="H10" s="63"/>
      <c r="I10" s="63"/>
      <c r="J10" s="63"/>
      <c r="K10" s="63"/>
      <c r="L10" s="63"/>
    </row>
    <row r="11" spans="1:12" ht="30.6" customHeight="1" x14ac:dyDescent="0.3">
      <c r="A11" s="16" t="s">
        <v>216</v>
      </c>
      <c r="B11" s="13" t="s">
        <v>186</v>
      </c>
      <c r="C11" s="13" t="s">
        <v>88</v>
      </c>
      <c r="D11" s="13" t="s">
        <v>89</v>
      </c>
      <c r="E11" s="16" t="s">
        <v>90</v>
      </c>
      <c r="F11" s="13" t="s">
        <v>91</v>
      </c>
      <c r="G11" s="13" t="s">
        <v>92</v>
      </c>
      <c r="H11" s="13" t="s">
        <v>152</v>
      </c>
      <c r="I11" s="17" t="s">
        <v>144</v>
      </c>
      <c r="J11" s="13"/>
      <c r="K11" s="13"/>
      <c r="L11" s="13" t="s">
        <v>39</v>
      </c>
    </row>
    <row r="12" spans="1:12" ht="18" customHeight="1" x14ac:dyDescent="0.3">
      <c r="A12" s="62" t="s">
        <v>202</v>
      </c>
      <c r="B12" s="63"/>
      <c r="C12" s="63"/>
      <c r="D12" s="63"/>
      <c r="E12" s="63"/>
      <c r="F12" s="63"/>
      <c r="G12" s="63"/>
      <c r="H12" s="63"/>
      <c r="I12" s="63"/>
      <c r="J12" s="63"/>
      <c r="K12" s="63"/>
      <c r="L12" s="63"/>
    </row>
    <row r="13" spans="1:12" ht="28.8" customHeight="1" x14ac:dyDescent="0.3">
      <c r="A13" s="16" t="s">
        <v>200</v>
      </c>
      <c r="B13" s="13" t="s">
        <v>187</v>
      </c>
      <c r="C13" s="13" t="s">
        <v>93</v>
      </c>
      <c r="D13" s="13" t="s">
        <v>94</v>
      </c>
      <c r="E13" s="13" t="s">
        <v>154</v>
      </c>
      <c r="F13" s="13" t="s">
        <v>153</v>
      </c>
      <c r="G13" s="13" t="s">
        <v>95</v>
      </c>
      <c r="H13" s="13" t="s">
        <v>95</v>
      </c>
      <c r="I13" s="17" t="s">
        <v>144</v>
      </c>
      <c r="J13" s="13"/>
      <c r="K13" s="13"/>
      <c r="L13" s="13" t="s">
        <v>41</v>
      </c>
    </row>
    <row r="14" spans="1:12" ht="28.2" customHeight="1" x14ac:dyDescent="0.3">
      <c r="A14" s="21" t="s">
        <v>201</v>
      </c>
      <c r="B14" s="12" t="s">
        <v>187</v>
      </c>
      <c r="C14" s="12" t="s">
        <v>96</v>
      </c>
      <c r="D14" s="12" t="s">
        <v>97</v>
      </c>
      <c r="E14" s="12" t="s">
        <v>155</v>
      </c>
      <c r="F14" s="12" t="s">
        <v>156</v>
      </c>
      <c r="G14" s="12" t="s">
        <v>157</v>
      </c>
      <c r="H14" s="12" t="s">
        <v>157</v>
      </c>
      <c r="I14" s="23" t="s">
        <v>144</v>
      </c>
      <c r="J14" s="12"/>
      <c r="K14" s="12"/>
      <c r="L14" s="12" t="s">
        <v>41</v>
      </c>
    </row>
    <row r="15" spans="1:12" ht="30" customHeight="1" x14ac:dyDescent="0.3">
      <c r="A15" s="21" t="s">
        <v>203</v>
      </c>
      <c r="B15" s="12" t="s">
        <v>187</v>
      </c>
      <c r="C15" s="12" t="s">
        <v>98</v>
      </c>
      <c r="D15" s="12" t="s">
        <v>99</v>
      </c>
      <c r="E15" s="12" t="s">
        <v>100</v>
      </c>
      <c r="F15" s="12" t="s">
        <v>101</v>
      </c>
      <c r="G15" s="12" t="s">
        <v>102</v>
      </c>
      <c r="H15" s="12" t="s">
        <v>158</v>
      </c>
      <c r="I15" s="23" t="s">
        <v>144</v>
      </c>
      <c r="J15" s="12"/>
      <c r="K15" s="12"/>
      <c r="L15" s="12" t="s">
        <v>41</v>
      </c>
    </row>
    <row r="16" spans="1:12" ht="18" customHeight="1" x14ac:dyDescent="0.3">
      <c r="A16" s="62"/>
      <c r="B16" s="63"/>
      <c r="C16" s="63"/>
      <c r="D16" s="63"/>
      <c r="E16" s="63"/>
      <c r="F16" s="63"/>
      <c r="G16" s="63"/>
      <c r="H16" s="63"/>
      <c r="I16" s="63"/>
      <c r="J16" s="63"/>
      <c r="K16" s="63"/>
      <c r="L16" s="63"/>
    </row>
    <row r="17" spans="1:12" ht="28.8" customHeight="1" x14ac:dyDescent="0.3">
      <c r="A17" s="21" t="s">
        <v>204</v>
      </c>
      <c r="B17" s="12" t="s">
        <v>188</v>
      </c>
      <c r="C17" s="12" t="s">
        <v>103</v>
      </c>
      <c r="D17" s="12" t="s">
        <v>104</v>
      </c>
      <c r="E17" s="12" t="s">
        <v>105</v>
      </c>
      <c r="F17" s="12" t="s">
        <v>106</v>
      </c>
      <c r="G17" s="12" t="s">
        <v>107</v>
      </c>
      <c r="H17" s="12" t="s">
        <v>159</v>
      </c>
      <c r="I17" s="23" t="s">
        <v>144</v>
      </c>
      <c r="J17" s="12"/>
      <c r="K17" s="12"/>
      <c r="L17" s="12" t="s">
        <v>43</v>
      </c>
    </row>
    <row r="18" spans="1:12" ht="29.4" customHeight="1" x14ac:dyDescent="0.3">
      <c r="A18" s="16" t="s">
        <v>205</v>
      </c>
      <c r="B18" s="13" t="s">
        <v>188</v>
      </c>
      <c r="C18" s="13" t="s">
        <v>103</v>
      </c>
      <c r="D18" s="13" t="s">
        <v>108</v>
      </c>
      <c r="E18" s="13" t="s">
        <v>162</v>
      </c>
      <c r="F18" s="13" t="s">
        <v>109</v>
      </c>
      <c r="G18" s="13" t="s">
        <v>110</v>
      </c>
      <c r="H18" s="13" t="s">
        <v>160</v>
      </c>
      <c r="I18" s="17" t="s">
        <v>144</v>
      </c>
      <c r="J18" s="13"/>
      <c r="K18" s="13"/>
      <c r="L18" s="13" t="s">
        <v>43</v>
      </c>
    </row>
    <row r="19" spans="1:12" ht="31.2" customHeight="1" x14ac:dyDescent="0.3">
      <c r="A19" s="21" t="s">
        <v>206</v>
      </c>
      <c r="B19" s="12" t="s">
        <v>188</v>
      </c>
      <c r="C19" s="12" t="s">
        <v>111</v>
      </c>
      <c r="D19" s="12" t="s">
        <v>112</v>
      </c>
      <c r="E19" s="12" t="s">
        <v>113</v>
      </c>
      <c r="F19" s="12" t="s">
        <v>114</v>
      </c>
      <c r="G19" s="12" t="s">
        <v>115</v>
      </c>
      <c r="H19" s="12" t="s">
        <v>161</v>
      </c>
      <c r="I19" s="22" t="s">
        <v>148</v>
      </c>
      <c r="J19" s="12" t="s">
        <v>163</v>
      </c>
      <c r="K19" s="22" t="s">
        <v>148</v>
      </c>
      <c r="L19" s="12" t="s">
        <v>43</v>
      </c>
    </row>
    <row r="20" spans="1:12" ht="18" customHeight="1" x14ac:dyDescent="0.3">
      <c r="A20" s="62"/>
      <c r="B20" s="63"/>
      <c r="C20" s="63"/>
      <c r="D20" s="63"/>
      <c r="E20" s="63"/>
      <c r="F20" s="63"/>
      <c r="G20" s="63"/>
      <c r="H20" s="63"/>
      <c r="I20" s="63"/>
      <c r="J20" s="63"/>
      <c r="K20" s="63"/>
      <c r="L20" s="63"/>
    </row>
    <row r="21" spans="1:12" ht="28.2" customHeight="1" x14ac:dyDescent="0.3">
      <c r="A21" s="21" t="s">
        <v>207</v>
      </c>
      <c r="B21" s="21" t="s">
        <v>189</v>
      </c>
      <c r="C21" s="12" t="s">
        <v>116</v>
      </c>
      <c r="D21" s="12" t="s">
        <v>117</v>
      </c>
      <c r="E21" s="12" t="s">
        <v>118</v>
      </c>
      <c r="F21" s="12" t="s">
        <v>119</v>
      </c>
      <c r="G21" s="12" t="s">
        <v>120</v>
      </c>
      <c r="H21" s="12" t="s">
        <v>164</v>
      </c>
      <c r="I21" s="23" t="s">
        <v>144</v>
      </c>
      <c r="J21" s="12"/>
      <c r="K21" s="12"/>
      <c r="L21" s="12" t="s">
        <v>45</v>
      </c>
    </row>
    <row r="22" spans="1:12" ht="27.6" customHeight="1" x14ac:dyDescent="0.3">
      <c r="A22" s="16" t="s">
        <v>208</v>
      </c>
      <c r="B22" s="16" t="s">
        <v>189</v>
      </c>
      <c r="C22" s="13" t="s">
        <v>116</v>
      </c>
      <c r="D22" s="13" t="s">
        <v>121</v>
      </c>
      <c r="E22" s="13" t="s">
        <v>122</v>
      </c>
      <c r="F22" s="13" t="s">
        <v>123</v>
      </c>
      <c r="G22" s="13" t="s">
        <v>124</v>
      </c>
      <c r="H22" s="13" t="s">
        <v>165</v>
      </c>
      <c r="I22" s="17" t="s">
        <v>144</v>
      </c>
      <c r="J22" s="13"/>
      <c r="K22" s="13"/>
      <c r="L22" s="13" t="s">
        <v>45</v>
      </c>
    </row>
    <row r="23" spans="1:12" ht="28.8" customHeight="1" x14ac:dyDescent="0.3">
      <c r="A23" s="21" t="s">
        <v>209</v>
      </c>
      <c r="B23" s="21" t="s">
        <v>189</v>
      </c>
      <c r="C23" s="12" t="s">
        <v>116</v>
      </c>
      <c r="D23" s="12" t="s">
        <v>125</v>
      </c>
      <c r="E23" s="12" t="s">
        <v>126</v>
      </c>
      <c r="F23" s="12" t="s">
        <v>127</v>
      </c>
      <c r="G23" s="12" t="s">
        <v>128</v>
      </c>
      <c r="H23" s="12" t="s">
        <v>166</v>
      </c>
      <c r="I23" s="23" t="s">
        <v>144</v>
      </c>
      <c r="J23" s="12"/>
      <c r="K23" s="12"/>
      <c r="L23" s="12" t="s">
        <v>45</v>
      </c>
    </row>
    <row r="24" spans="1:12" ht="18" customHeight="1" x14ac:dyDescent="0.3">
      <c r="A24" s="62" t="s">
        <v>212</v>
      </c>
      <c r="B24" s="63"/>
      <c r="C24" s="63"/>
      <c r="D24" s="63"/>
      <c r="E24" s="63"/>
      <c r="F24" s="63"/>
      <c r="G24" s="63"/>
      <c r="H24" s="63"/>
      <c r="I24" s="63"/>
      <c r="J24" s="63"/>
      <c r="K24" s="63"/>
      <c r="L24" s="63"/>
    </row>
    <row r="25" spans="1:12" ht="28.2" customHeight="1" x14ac:dyDescent="0.3">
      <c r="A25" s="16" t="s">
        <v>210</v>
      </c>
      <c r="B25" s="16" t="s">
        <v>190</v>
      </c>
      <c r="C25" s="13" t="s">
        <v>129</v>
      </c>
      <c r="D25" s="13" t="s">
        <v>130</v>
      </c>
      <c r="E25" s="13" t="s">
        <v>131</v>
      </c>
      <c r="F25" s="13" t="s">
        <v>132</v>
      </c>
      <c r="G25" s="13" t="s">
        <v>133</v>
      </c>
      <c r="H25" s="16" t="s">
        <v>168</v>
      </c>
      <c r="I25" s="24" t="s">
        <v>144</v>
      </c>
      <c r="J25" s="13"/>
      <c r="K25" s="13"/>
      <c r="L25" s="13" t="s">
        <v>47</v>
      </c>
    </row>
    <row r="26" spans="1:12" ht="28.2" customHeight="1" x14ac:dyDescent="0.3">
      <c r="A26" s="21" t="s">
        <v>211</v>
      </c>
      <c r="B26" s="21" t="s">
        <v>190</v>
      </c>
      <c r="C26" s="12" t="s">
        <v>129</v>
      </c>
      <c r="D26" s="12" t="s">
        <v>134</v>
      </c>
      <c r="E26" s="12" t="s">
        <v>135</v>
      </c>
      <c r="F26" s="12" t="s">
        <v>136</v>
      </c>
      <c r="G26" s="12" t="s">
        <v>137</v>
      </c>
      <c r="H26" s="21" t="s">
        <v>164</v>
      </c>
      <c r="I26" s="25" t="s">
        <v>144</v>
      </c>
      <c r="J26" s="12"/>
      <c r="K26" s="12"/>
      <c r="L26" s="12" t="s">
        <v>47</v>
      </c>
    </row>
    <row r="27" spans="1:12" ht="29.4" customHeight="1" x14ac:dyDescent="0.3">
      <c r="A27" s="16" t="s">
        <v>213</v>
      </c>
      <c r="B27" s="16" t="s">
        <v>190</v>
      </c>
      <c r="C27" s="13" t="s">
        <v>129</v>
      </c>
      <c r="D27" s="13" t="s">
        <v>138</v>
      </c>
      <c r="E27" s="13" t="s">
        <v>139</v>
      </c>
      <c r="F27" s="13" t="s">
        <v>140</v>
      </c>
      <c r="G27" s="13" t="s">
        <v>141</v>
      </c>
      <c r="H27" s="16" t="s">
        <v>169</v>
      </c>
      <c r="I27" s="24" t="s">
        <v>144</v>
      </c>
      <c r="J27" s="13"/>
      <c r="K27" s="13"/>
      <c r="L27" s="13" t="s">
        <v>47</v>
      </c>
    </row>
    <row r="28" spans="1:12" x14ac:dyDescent="0.3">
      <c r="A28" s="62" t="s">
        <v>212</v>
      </c>
      <c r="B28" s="63"/>
      <c r="C28" s="63"/>
      <c r="D28" s="63"/>
      <c r="E28" s="63"/>
      <c r="F28" s="63"/>
      <c r="G28" s="63"/>
      <c r="H28" s="63"/>
      <c r="I28" s="63"/>
      <c r="J28" s="63"/>
      <c r="K28" s="63"/>
      <c r="L28" s="63"/>
    </row>
    <row r="29" spans="1:12" ht="39.6" x14ac:dyDescent="0.3">
      <c r="A29" s="16" t="s">
        <v>271</v>
      </c>
      <c r="B29" s="16" t="s">
        <v>267</v>
      </c>
      <c r="C29" s="13" t="s">
        <v>275</v>
      </c>
      <c r="D29" s="13" t="s">
        <v>276</v>
      </c>
      <c r="E29" s="13" t="s">
        <v>277</v>
      </c>
      <c r="F29" s="13" t="s">
        <v>279</v>
      </c>
      <c r="G29" s="13" t="s">
        <v>278</v>
      </c>
      <c r="H29" s="16" t="s">
        <v>280</v>
      </c>
      <c r="I29" s="24" t="s">
        <v>144</v>
      </c>
      <c r="J29" s="13"/>
      <c r="K29" s="13"/>
      <c r="L29" s="13" t="s">
        <v>281</v>
      </c>
    </row>
    <row r="30" spans="1:12" ht="39.6" x14ac:dyDescent="0.3">
      <c r="A30" s="21" t="s">
        <v>272</v>
      </c>
      <c r="B30" s="21" t="s">
        <v>267</v>
      </c>
      <c r="C30" s="12" t="s">
        <v>275</v>
      </c>
      <c r="D30" s="12" t="s">
        <v>282</v>
      </c>
      <c r="E30" s="12" t="s">
        <v>283</v>
      </c>
      <c r="F30" s="12" t="s">
        <v>284</v>
      </c>
      <c r="G30" s="12" t="s">
        <v>285</v>
      </c>
      <c r="H30" s="21" t="s">
        <v>286</v>
      </c>
      <c r="I30" s="25" t="s">
        <v>144</v>
      </c>
      <c r="J30" s="12"/>
      <c r="K30" s="12"/>
      <c r="L30" s="12" t="s">
        <v>297</v>
      </c>
    </row>
    <row r="31" spans="1:12" ht="39.6" x14ac:dyDescent="0.3">
      <c r="A31" s="16" t="s">
        <v>273</v>
      </c>
      <c r="B31" s="16" t="s">
        <v>267</v>
      </c>
      <c r="C31" s="13" t="s">
        <v>275</v>
      </c>
      <c r="D31" s="13" t="s">
        <v>287</v>
      </c>
      <c r="E31" s="13" t="s">
        <v>289</v>
      </c>
      <c r="F31" s="13" t="s">
        <v>290</v>
      </c>
      <c r="G31" s="13" t="s">
        <v>288</v>
      </c>
      <c r="H31" s="16" t="s">
        <v>291</v>
      </c>
      <c r="I31" s="24" t="s">
        <v>144</v>
      </c>
      <c r="J31" s="13"/>
      <c r="K31" s="13"/>
      <c r="L31" s="13" t="s">
        <v>298</v>
      </c>
    </row>
    <row r="32" spans="1:12" ht="26.4" x14ac:dyDescent="0.3">
      <c r="A32" s="16" t="s">
        <v>274</v>
      </c>
      <c r="B32" s="16" t="s">
        <v>267</v>
      </c>
      <c r="C32" s="13" t="s">
        <v>275</v>
      </c>
      <c r="D32" s="13" t="s">
        <v>292</v>
      </c>
      <c r="E32" s="13" t="s">
        <v>294</v>
      </c>
      <c r="F32" s="13" t="s">
        <v>293</v>
      </c>
      <c r="G32" s="13" t="s">
        <v>295</v>
      </c>
      <c r="H32" s="16" t="s">
        <v>296</v>
      </c>
      <c r="I32" s="24" t="s">
        <v>144</v>
      </c>
      <c r="J32" s="13"/>
      <c r="K32" s="13"/>
      <c r="L32" s="13" t="s">
        <v>299</v>
      </c>
    </row>
  </sheetData>
  <mergeCells count="6">
    <mergeCell ref="A28:L28"/>
    <mergeCell ref="A24:L24"/>
    <mergeCell ref="A12:L12"/>
    <mergeCell ref="A10:L10"/>
    <mergeCell ref="A16:L16"/>
    <mergeCell ref="A20:L20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A8A0D7-79FA-43B5-AB22-CF67281A5784}">
  <dimension ref="A1:F3"/>
  <sheetViews>
    <sheetView workbookViewId="0">
      <selection activeCell="F3" sqref="F3"/>
    </sheetView>
  </sheetViews>
  <sheetFormatPr defaultRowHeight="14.4" x14ac:dyDescent="0.3"/>
  <cols>
    <col min="1" max="1" width="15.6640625" customWidth="1"/>
    <col min="2" max="2" width="24.44140625" customWidth="1"/>
    <col min="3" max="3" width="62.44140625" customWidth="1"/>
    <col min="4" max="4" width="15.5546875" customWidth="1"/>
    <col min="5" max="5" width="19.109375" customWidth="1"/>
  </cols>
  <sheetData>
    <row r="1" spans="1:6" ht="17.399999999999999" customHeight="1" x14ac:dyDescent="0.3">
      <c r="A1" s="43" t="s">
        <v>175</v>
      </c>
      <c r="B1" s="43" t="s">
        <v>176</v>
      </c>
      <c r="C1" s="43" t="s">
        <v>177</v>
      </c>
      <c r="D1" s="43" t="s">
        <v>178</v>
      </c>
      <c r="E1" s="43" t="s">
        <v>179</v>
      </c>
      <c r="F1" s="43" t="s">
        <v>180</v>
      </c>
    </row>
    <row r="2" spans="1:6" ht="49.2" customHeight="1" x14ac:dyDescent="0.3">
      <c r="A2" s="26" t="s">
        <v>214</v>
      </c>
      <c r="B2" s="27" t="s">
        <v>181</v>
      </c>
      <c r="C2" s="27" t="s">
        <v>182</v>
      </c>
      <c r="D2" s="28" t="s">
        <v>6</v>
      </c>
      <c r="E2" s="30" t="s">
        <v>220</v>
      </c>
      <c r="F2" s="29" t="s">
        <v>243</v>
      </c>
    </row>
    <row r="3" spans="1:6" ht="51" customHeight="1" x14ac:dyDescent="0.3">
      <c r="A3" s="26" t="s">
        <v>215</v>
      </c>
      <c r="B3" s="27" t="s">
        <v>183</v>
      </c>
      <c r="C3" s="27" t="s">
        <v>184</v>
      </c>
      <c r="D3" s="28" t="s">
        <v>15</v>
      </c>
      <c r="E3" s="30" t="s">
        <v>221</v>
      </c>
      <c r="F3" s="29" t="s">
        <v>243</v>
      </c>
    </row>
  </sheetData>
  <hyperlinks>
    <hyperlink ref="E2" r:id="rId1" xr:uid="{8F4BF5A5-9012-483D-A614-A698F7954B88}"/>
    <hyperlink ref="E3" r:id="rId2" xr:uid="{24850AA0-C3EB-4A1A-B0E7-7B34CB4C605F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64BC42-3F95-4102-8105-8383C1296CE9}">
  <dimension ref="A1:F26"/>
  <sheetViews>
    <sheetView workbookViewId="0">
      <selection activeCell="F16" sqref="F16"/>
    </sheetView>
  </sheetViews>
  <sheetFormatPr defaultRowHeight="14.4" x14ac:dyDescent="0.3"/>
  <cols>
    <col min="1" max="1" width="15" customWidth="1"/>
    <col min="2" max="2" width="14.109375" customWidth="1"/>
    <col min="3" max="3" width="13.88671875" customWidth="1"/>
    <col min="4" max="4" width="18.6640625" customWidth="1"/>
    <col min="5" max="5" width="13.44140625" customWidth="1"/>
    <col min="6" max="6" width="15.44140625" customWidth="1"/>
  </cols>
  <sheetData>
    <row r="1" spans="1:6" x14ac:dyDescent="0.3">
      <c r="A1" s="44" t="s">
        <v>222</v>
      </c>
      <c r="B1" s="44" t="s">
        <v>223</v>
      </c>
      <c r="C1" s="44" t="s">
        <v>224</v>
      </c>
      <c r="D1" s="44" t="s">
        <v>225</v>
      </c>
      <c r="E1" s="44" t="s">
        <v>226</v>
      </c>
      <c r="F1" s="44" t="s">
        <v>227</v>
      </c>
    </row>
    <row r="2" spans="1:6" ht="21.6" customHeight="1" x14ac:dyDescent="0.3">
      <c r="A2" s="33" t="s">
        <v>231</v>
      </c>
      <c r="B2" s="33" t="s">
        <v>232</v>
      </c>
      <c r="C2" s="33" t="s">
        <v>185</v>
      </c>
      <c r="D2" s="33" t="s">
        <v>191</v>
      </c>
      <c r="E2" s="38" t="s">
        <v>228</v>
      </c>
      <c r="F2" s="35" t="s">
        <v>229</v>
      </c>
    </row>
    <row r="3" spans="1:6" ht="18" customHeight="1" x14ac:dyDescent="0.3">
      <c r="A3" s="34"/>
      <c r="B3" s="34"/>
      <c r="C3" s="34"/>
      <c r="D3" s="34" t="s">
        <v>192</v>
      </c>
      <c r="E3" s="39" t="s">
        <v>228</v>
      </c>
      <c r="F3" s="36" t="s">
        <v>229</v>
      </c>
    </row>
    <row r="4" spans="1:6" ht="18" customHeight="1" x14ac:dyDescent="0.3">
      <c r="A4" s="34"/>
      <c r="B4" s="34"/>
      <c r="C4" s="34"/>
      <c r="D4" s="34" t="s">
        <v>193</v>
      </c>
      <c r="E4" s="39" t="s">
        <v>228</v>
      </c>
      <c r="F4" s="36" t="s">
        <v>229</v>
      </c>
    </row>
    <row r="5" spans="1:6" ht="20.399999999999999" customHeight="1" x14ac:dyDescent="0.3">
      <c r="A5" s="33"/>
      <c r="B5" s="33"/>
      <c r="C5" s="33"/>
      <c r="D5" s="33" t="s">
        <v>194</v>
      </c>
      <c r="E5" s="38" t="s">
        <v>228</v>
      </c>
      <c r="F5" s="35" t="s">
        <v>229</v>
      </c>
    </row>
    <row r="6" spans="1:6" ht="18.600000000000001" customHeight="1" x14ac:dyDescent="0.3">
      <c r="A6" s="34"/>
      <c r="B6" s="34"/>
      <c r="C6" s="34"/>
      <c r="D6" s="34" t="s">
        <v>195</v>
      </c>
      <c r="E6" s="40" t="s">
        <v>230</v>
      </c>
      <c r="F6" s="37" t="s">
        <v>214</v>
      </c>
    </row>
    <row r="7" spans="1:6" ht="18" customHeight="1" x14ac:dyDescent="0.3">
      <c r="A7" s="33"/>
      <c r="B7" s="33"/>
      <c r="C7" s="33"/>
      <c r="D7" s="33" t="s">
        <v>196</v>
      </c>
      <c r="E7" s="38" t="s">
        <v>228</v>
      </c>
      <c r="F7" s="35" t="s">
        <v>229</v>
      </c>
    </row>
    <row r="8" spans="1:6" ht="13.8" customHeight="1" x14ac:dyDescent="0.3">
      <c r="A8" s="34"/>
      <c r="B8" s="34"/>
      <c r="C8" s="34"/>
      <c r="D8" s="34" t="s">
        <v>197</v>
      </c>
      <c r="E8" s="39" t="s">
        <v>228</v>
      </c>
      <c r="F8" s="36" t="s">
        <v>229</v>
      </c>
    </row>
    <row r="9" spans="1:6" ht="19.2" customHeight="1" x14ac:dyDescent="0.3">
      <c r="A9" s="33"/>
      <c r="B9" s="33"/>
      <c r="C9" s="33"/>
      <c r="D9" s="33" t="s">
        <v>198</v>
      </c>
      <c r="E9" s="38" t="s">
        <v>228</v>
      </c>
      <c r="F9" s="35" t="s">
        <v>229</v>
      </c>
    </row>
    <row r="10" spans="1:6" ht="16.8" customHeight="1" x14ac:dyDescent="0.3">
      <c r="A10" s="34" t="s">
        <v>233</v>
      </c>
      <c r="B10" s="34" t="s">
        <v>234</v>
      </c>
      <c r="C10" s="34" t="s">
        <v>186</v>
      </c>
      <c r="D10" s="34" t="s">
        <v>216</v>
      </c>
      <c r="E10" s="39" t="s">
        <v>228</v>
      </c>
      <c r="F10" s="36" t="s">
        <v>229</v>
      </c>
    </row>
    <row r="11" spans="1:6" ht="18.600000000000001" customHeight="1" x14ac:dyDescent="0.3">
      <c r="A11" s="34" t="s">
        <v>235</v>
      </c>
      <c r="B11" s="34" t="s">
        <v>236</v>
      </c>
      <c r="C11" s="34" t="s">
        <v>187</v>
      </c>
      <c r="D11" s="34" t="s">
        <v>200</v>
      </c>
      <c r="E11" s="39" t="s">
        <v>228</v>
      </c>
      <c r="F11" s="36" t="s">
        <v>229</v>
      </c>
    </row>
    <row r="12" spans="1:6" ht="20.399999999999999" customHeight="1" x14ac:dyDescent="0.3">
      <c r="A12" s="33"/>
      <c r="B12" s="33"/>
      <c r="C12" s="33"/>
      <c r="D12" s="33" t="s">
        <v>201</v>
      </c>
      <c r="E12" s="38" t="s">
        <v>228</v>
      </c>
      <c r="F12" s="35" t="s">
        <v>229</v>
      </c>
    </row>
    <row r="13" spans="1:6" ht="16.8" customHeight="1" x14ac:dyDescent="0.3">
      <c r="A13" s="34"/>
      <c r="B13" s="34"/>
      <c r="C13" s="34"/>
      <c r="D13" s="34" t="s">
        <v>203</v>
      </c>
      <c r="E13" s="39" t="s">
        <v>228</v>
      </c>
      <c r="F13" s="36" t="s">
        <v>229</v>
      </c>
    </row>
    <row r="14" spans="1:6" ht="18" customHeight="1" x14ac:dyDescent="0.3">
      <c r="A14" s="33" t="s">
        <v>237</v>
      </c>
      <c r="B14" s="33" t="s">
        <v>238</v>
      </c>
      <c r="C14" s="33" t="s">
        <v>188</v>
      </c>
      <c r="D14" s="33" t="s">
        <v>204</v>
      </c>
      <c r="E14" s="38" t="s">
        <v>228</v>
      </c>
      <c r="F14" s="35" t="s">
        <v>229</v>
      </c>
    </row>
    <row r="15" spans="1:6" ht="13.8" customHeight="1" x14ac:dyDescent="0.3">
      <c r="A15" s="34"/>
      <c r="B15" s="34"/>
      <c r="C15" s="34"/>
      <c r="D15" s="34" t="s">
        <v>205</v>
      </c>
      <c r="E15" s="39" t="s">
        <v>228</v>
      </c>
      <c r="F15" s="36" t="s">
        <v>229</v>
      </c>
    </row>
    <row r="16" spans="1:6" ht="13.8" customHeight="1" x14ac:dyDescent="0.3">
      <c r="A16" s="33"/>
      <c r="B16" s="33"/>
      <c r="C16" s="33"/>
      <c r="D16" s="33" t="s">
        <v>206</v>
      </c>
      <c r="E16" s="41" t="s">
        <v>230</v>
      </c>
      <c r="F16" s="42" t="s">
        <v>215</v>
      </c>
    </row>
    <row r="17" spans="1:6" ht="16.8" customHeight="1" x14ac:dyDescent="0.3">
      <c r="A17" s="34" t="s">
        <v>239</v>
      </c>
      <c r="B17" s="34" t="s">
        <v>240</v>
      </c>
      <c r="C17" s="34" t="s">
        <v>189</v>
      </c>
      <c r="D17" s="34" t="s">
        <v>207</v>
      </c>
      <c r="E17" s="39" t="s">
        <v>228</v>
      </c>
      <c r="F17" s="36" t="s">
        <v>229</v>
      </c>
    </row>
    <row r="18" spans="1:6" ht="14.4" customHeight="1" x14ac:dyDescent="0.3">
      <c r="A18" s="33"/>
      <c r="B18" s="33"/>
      <c r="C18" s="33"/>
      <c r="D18" s="33" t="s">
        <v>208</v>
      </c>
      <c r="E18" s="38" t="s">
        <v>228</v>
      </c>
      <c r="F18" s="35" t="s">
        <v>229</v>
      </c>
    </row>
    <row r="19" spans="1:6" ht="19.2" customHeight="1" x14ac:dyDescent="0.3">
      <c r="A19" s="34"/>
      <c r="B19" s="34"/>
      <c r="C19" s="34"/>
      <c r="D19" s="34" t="s">
        <v>209</v>
      </c>
      <c r="E19" s="39" t="s">
        <v>228</v>
      </c>
      <c r="F19" s="36" t="s">
        <v>229</v>
      </c>
    </row>
    <row r="20" spans="1:6" ht="18.600000000000001" customHeight="1" x14ac:dyDescent="0.3">
      <c r="A20" s="33" t="s">
        <v>241</v>
      </c>
      <c r="B20" s="33" t="s">
        <v>242</v>
      </c>
      <c r="C20" s="33" t="s">
        <v>190</v>
      </c>
      <c r="D20" s="33" t="s">
        <v>210</v>
      </c>
      <c r="E20" s="38" t="s">
        <v>228</v>
      </c>
      <c r="F20" s="35" t="s">
        <v>229</v>
      </c>
    </row>
    <row r="21" spans="1:6" ht="18.600000000000001" customHeight="1" x14ac:dyDescent="0.3">
      <c r="A21" s="34"/>
      <c r="B21" s="34"/>
      <c r="C21" s="34"/>
      <c r="D21" s="34" t="s">
        <v>211</v>
      </c>
      <c r="E21" s="39" t="s">
        <v>228</v>
      </c>
      <c r="F21" s="36" t="s">
        <v>229</v>
      </c>
    </row>
    <row r="22" spans="1:6" ht="15.6" customHeight="1" x14ac:dyDescent="0.3">
      <c r="A22" s="69"/>
      <c r="B22" s="69"/>
      <c r="C22" s="69"/>
      <c r="D22" s="69" t="s">
        <v>213</v>
      </c>
      <c r="E22" s="68" t="s">
        <v>228</v>
      </c>
      <c r="F22" s="70" t="s">
        <v>229</v>
      </c>
    </row>
    <row r="23" spans="1:6" x14ac:dyDescent="0.3">
      <c r="A23" s="73" t="s">
        <v>300</v>
      </c>
      <c r="B23" s="71" t="s">
        <v>301</v>
      </c>
      <c r="C23" s="71" t="s">
        <v>267</v>
      </c>
      <c r="D23" s="71" t="s">
        <v>271</v>
      </c>
      <c r="E23" s="72" t="s">
        <v>228</v>
      </c>
      <c r="F23" s="71" t="s">
        <v>229</v>
      </c>
    </row>
    <row r="24" spans="1:6" x14ac:dyDescent="0.3">
      <c r="A24" s="71"/>
      <c r="B24" s="71"/>
      <c r="C24" s="71"/>
      <c r="D24" s="71" t="s">
        <v>272</v>
      </c>
      <c r="E24" s="72" t="s">
        <v>228</v>
      </c>
      <c r="F24" s="71" t="s">
        <v>229</v>
      </c>
    </row>
    <row r="25" spans="1:6" x14ac:dyDescent="0.3">
      <c r="A25" s="71"/>
      <c r="B25" s="71"/>
      <c r="C25" s="71"/>
      <c r="D25" s="71" t="s">
        <v>273</v>
      </c>
      <c r="E25" s="72" t="s">
        <v>228</v>
      </c>
      <c r="F25" s="71" t="s">
        <v>229</v>
      </c>
    </row>
    <row r="26" spans="1:6" x14ac:dyDescent="0.3">
      <c r="A26" s="71"/>
      <c r="B26" s="71"/>
      <c r="C26" s="71"/>
      <c r="D26" s="71" t="s">
        <v>274</v>
      </c>
      <c r="E26" s="72" t="s">
        <v>228</v>
      </c>
      <c r="F26" s="71" t="s">
        <v>229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572326-E878-4020-9542-81828AEF480C}">
  <dimension ref="A1:I10"/>
  <sheetViews>
    <sheetView workbookViewId="0">
      <selection activeCell="I2" sqref="I2"/>
    </sheetView>
  </sheetViews>
  <sheetFormatPr defaultRowHeight="14.4" x14ac:dyDescent="0.3"/>
  <cols>
    <col min="1" max="1" width="18.109375" customWidth="1"/>
    <col min="2" max="2" width="29.21875" customWidth="1"/>
    <col min="3" max="3" width="11.6640625" customWidth="1"/>
    <col min="4" max="4" width="12.88671875" customWidth="1"/>
    <col min="5" max="5" width="10.88671875" customWidth="1"/>
    <col min="6" max="6" width="12.88671875" customWidth="1"/>
    <col min="7" max="7" width="14.21875" customWidth="1"/>
    <col min="8" max="8" width="14.33203125" customWidth="1"/>
    <col min="9" max="9" width="20" customWidth="1"/>
  </cols>
  <sheetData>
    <row r="1" spans="1:9" ht="21.6" customHeight="1" x14ac:dyDescent="0.3">
      <c r="A1" s="64" t="s">
        <v>244</v>
      </c>
      <c r="B1" s="65"/>
      <c r="C1" s="65"/>
      <c r="D1" s="65"/>
      <c r="E1" s="65"/>
      <c r="F1" s="65"/>
      <c r="G1" s="65"/>
      <c r="H1" s="65"/>
      <c r="I1" s="65"/>
    </row>
    <row r="2" spans="1:9" ht="14.4" customHeight="1" x14ac:dyDescent="0.3">
      <c r="A2" s="48" t="s">
        <v>245</v>
      </c>
      <c r="B2" s="48" t="s">
        <v>246</v>
      </c>
      <c r="C2" s="48" t="s">
        <v>247</v>
      </c>
      <c r="D2" s="48" t="s">
        <v>248</v>
      </c>
      <c r="E2" s="48" t="s">
        <v>249</v>
      </c>
      <c r="F2" s="48" t="s">
        <v>250</v>
      </c>
      <c r="G2" s="48" t="s">
        <v>251</v>
      </c>
      <c r="H2" s="48" t="s">
        <v>252</v>
      </c>
      <c r="I2" s="48" t="s">
        <v>303</v>
      </c>
    </row>
    <row r="3" spans="1:9" ht="22.2" customHeight="1" x14ac:dyDescent="0.3">
      <c r="A3" s="49" t="s">
        <v>253</v>
      </c>
      <c r="B3" s="50" t="s">
        <v>35</v>
      </c>
      <c r="C3" s="51">
        <v>8</v>
      </c>
      <c r="D3" s="52">
        <v>7</v>
      </c>
      <c r="E3" s="53">
        <v>1</v>
      </c>
      <c r="F3" s="51">
        <v>8</v>
      </c>
      <c r="G3" s="54">
        <f t="shared" ref="G3:G10" si="0">IF(C3=0,0,D3/C3)</f>
        <v>0.875</v>
      </c>
      <c r="H3" s="54">
        <f t="shared" ref="H3:H10" si="1">IF(C3=0,0,E3/C3)</f>
        <v>0.125</v>
      </c>
      <c r="I3" s="54">
        <f t="shared" ref="I3:I10" si="2">IF(C3=0,0,F3/C3)</f>
        <v>1</v>
      </c>
    </row>
    <row r="4" spans="1:9" ht="19.2" customHeight="1" x14ac:dyDescent="0.3">
      <c r="A4" s="46"/>
      <c r="B4" s="46" t="s">
        <v>40</v>
      </c>
      <c r="C4" s="45" t="s">
        <v>302</v>
      </c>
      <c r="D4" s="55">
        <v>1</v>
      </c>
      <c r="E4" s="47">
        <v>0</v>
      </c>
      <c r="F4" s="45">
        <v>1</v>
      </c>
      <c r="G4" s="56">
        <v>1</v>
      </c>
      <c r="H4" s="56">
        <v>0</v>
      </c>
      <c r="I4" s="56">
        <v>1</v>
      </c>
    </row>
    <row r="5" spans="1:9" ht="22.2" customHeight="1" x14ac:dyDescent="0.3">
      <c r="A5" s="50"/>
      <c r="B5" s="50" t="s">
        <v>42</v>
      </c>
      <c r="C5" s="51">
        <v>3</v>
      </c>
      <c r="D5" s="52">
        <v>3</v>
      </c>
      <c r="E5" s="32">
        <v>0</v>
      </c>
      <c r="F5" s="51">
        <v>3</v>
      </c>
      <c r="G5" s="54">
        <f t="shared" si="0"/>
        <v>1</v>
      </c>
      <c r="H5" s="54">
        <f t="shared" si="1"/>
        <v>0</v>
      </c>
      <c r="I5" s="54">
        <f t="shared" si="2"/>
        <v>1</v>
      </c>
    </row>
    <row r="6" spans="1:9" ht="22.2" customHeight="1" x14ac:dyDescent="0.3">
      <c r="A6" s="46"/>
      <c r="B6" s="46" t="s">
        <v>44</v>
      </c>
      <c r="C6" s="45">
        <v>3</v>
      </c>
      <c r="D6" s="55">
        <v>2</v>
      </c>
      <c r="E6" s="47">
        <v>1</v>
      </c>
      <c r="F6" s="45">
        <v>3</v>
      </c>
      <c r="G6" s="56">
        <f t="shared" si="0"/>
        <v>0.66666666666666663</v>
      </c>
      <c r="H6" s="56">
        <f t="shared" si="1"/>
        <v>0.33333333333333331</v>
      </c>
      <c r="I6" s="56">
        <f t="shared" si="2"/>
        <v>1</v>
      </c>
    </row>
    <row r="7" spans="1:9" ht="20.399999999999999" customHeight="1" x14ac:dyDescent="0.3">
      <c r="A7" s="50"/>
      <c r="B7" s="50" t="s">
        <v>256</v>
      </c>
      <c r="C7" s="51">
        <v>3</v>
      </c>
      <c r="D7" s="52">
        <v>3</v>
      </c>
      <c r="E7" s="32">
        <v>0</v>
      </c>
      <c r="F7" s="51">
        <v>3</v>
      </c>
      <c r="G7" s="54">
        <f t="shared" si="0"/>
        <v>1</v>
      </c>
      <c r="H7" s="54">
        <f t="shared" si="1"/>
        <v>0</v>
      </c>
      <c r="I7" s="54">
        <f t="shared" si="2"/>
        <v>1</v>
      </c>
    </row>
    <row r="8" spans="1:9" s="61" customFormat="1" ht="16.2" customHeight="1" x14ac:dyDescent="0.3">
      <c r="A8" s="46"/>
      <c r="B8" s="46" t="s">
        <v>254</v>
      </c>
      <c r="C8" s="45">
        <v>3</v>
      </c>
      <c r="D8" s="55">
        <v>3</v>
      </c>
      <c r="E8" s="31">
        <v>0</v>
      </c>
      <c r="F8" s="45">
        <v>3</v>
      </c>
      <c r="G8" s="56">
        <f t="shared" ref="G8" si="3">IF(C8=0,0,D8/C8)</f>
        <v>1</v>
      </c>
      <c r="H8" s="56">
        <f t="shared" ref="H8" si="4">IF(C8=0,0,E8/C8)</f>
        <v>0</v>
      </c>
      <c r="I8" s="56">
        <f t="shared" ref="I8" si="5">IF(C8=0,0,F8/C8)</f>
        <v>1</v>
      </c>
    </row>
    <row r="9" spans="1:9" ht="16.2" customHeight="1" x14ac:dyDescent="0.3">
      <c r="A9" s="74"/>
      <c r="B9" s="74" t="s">
        <v>269</v>
      </c>
      <c r="C9" s="75">
        <v>4</v>
      </c>
      <c r="D9" s="76">
        <v>4</v>
      </c>
      <c r="E9" s="77">
        <v>0</v>
      </c>
      <c r="F9" s="75">
        <v>4</v>
      </c>
      <c r="G9" s="78">
        <f t="shared" si="0"/>
        <v>1</v>
      </c>
      <c r="H9" s="78">
        <f t="shared" si="1"/>
        <v>0</v>
      </c>
      <c r="I9" s="78">
        <f t="shared" si="2"/>
        <v>1</v>
      </c>
    </row>
    <row r="10" spans="1:9" x14ac:dyDescent="0.3">
      <c r="A10" s="66" t="s">
        <v>255</v>
      </c>
      <c r="B10" s="67"/>
      <c r="C10" s="57">
        <v>25</v>
      </c>
      <c r="D10" s="58">
        <v>23</v>
      </c>
      <c r="E10" s="59">
        <v>2</v>
      </c>
      <c r="F10" s="57">
        <v>25</v>
      </c>
      <c r="G10" s="60">
        <f t="shared" si="0"/>
        <v>0.92</v>
      </c>
      <c r="H10" s="60">
        <f t="shared" si="1"/>
        <v>0.08</v>
      </c>
      <c r="I10" s="60">
        <f t="shared" si="2"/>
        <v>1</v>
      </c>
    </row>
  </sheetData>
  <mergeCells count="2">
    <mergeCell ref="A1:I1"/>
    <mergeCell ref="A10:B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User Stories</vt:lpstr>
      <vt:lpstr>Test Scenarios</vt:lpstr>
      <vt:lpstr>Test Cases</vt:lpstr>
      <vt:lpstr>Defect Report</vt:lpstr>
      <vt:lpstr>RTM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Kat Jacobson</cp:lastModifiedBy>
  <dcterms:created xsi:type="dcterms:W3CDTF">2026-03-23T09:31:36Z</dcterms:created>
  <dcterms:modified xsi:type="dcterms:W3CDTF">2026-03-27T06:21:01Z</dcterms:modified>
</cp:coreProperties>
</file>